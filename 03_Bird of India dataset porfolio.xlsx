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7CFA3FF0-59C9-41F2-B282-4F63D4E8325B}" xr6:coauthVersionLast="47" xr6:coauthVersionMax="47" xr10:uidLastSave="{00000000-0000-0000-0000-000000000000}"/>
  <bookViews>
    <workbookView xWindow="-110" yWindow="-110" windowWidth="19420" windowHeight="10300" activeTab="1" xr2:uid="{355B70F6-AA95-4F21-9625-3482A8CA98E1}"/>
  </bookViews>
  <sheets>
    <sheet name="Birds of India" sheetId="1" r:id="rId1"/>
    <sheet name="range" sheetId="3" r:id="rId2"/>
    <sheet name="Desciptive Statistic " sheetId="2" r:id="rId3"/>
  </sheets>
  <definedNames>
    <definedName name="_xlnm._FilterDatabase" localSheetId="0" hidden="1">'Birds of India'!$A$1:$D$200</definedName>
    <definedName name="_xlnm._FilterDatabase" localSheetId="1" hidden="1">range!$A$1:$B$200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" i="1"/>
</calcChain>
</file>

<file path=xl/sharedStrings.xml><?xml version="1.0" encoding="utf-8"?>
<sst xmlns="http://schemas.openxmlformats.org/spreadsheetml/2006/main" count="806" uniqueCount="446">
  <si>
    <t>name</t>
  </si>
  <si>
    <t>scientific name</t>
  </si>
  <si>
    <t>last observation</t>
  </si>
  <si>
    <t>total observations</t>
  </si>
  <si>
    <t>Brown-cheeked Fulvetta</t>
  </si>
  <si>
    <t>Alcippe poioicephala</t>
  </si>
  <si>
    <t>November 9, 2024</t>
  </si>
  <si>
    <t>Nepal Fulvetta</t>
  </si>
  <si>
    <t>Alcippe nipalensis</t>
  </si>
  <si>
    <t>November 8, 2024</t>
  </si>
  <si>
    <t>Brown Fulvetta</t>
  </si>
  <si>
    <t>Alcippe brunneicauda</t>
  </si>
  <si>
    <t>November 4, 2024</t>
  </si>
  <si>
    <t>Giant Laughingthrush</t>
  </si>
  <si>
    <t>Ianthocincla maxima</t>
  </si>
  <si>
    <t>October 26, 2024</t>
  </si>
  <si>
    <t>Spotted Laughingthrush</t>
  </si>
  <si>
    <t>Ianthocincla ocellata</t>
  </si>
  <si>
    <t>November 22, 2024</t>
  </si>
  <si>
    <t>Rufous-chinned Laughingthrush</t>
  </si>
  <si>
    <t>Ianthocincla rufogularis</t>
  </si>
  <si>
    <t>November 6, 2024</t>
  </si>
  <si>
    <t>Moustached Laughingthrush</t>
  </si>
  <si>
    <t>Ianthocincla cineracea</t>
  </si>
  <si>
    <t>October 5, 2024</t>
  </si>
  <si>
    <t>Snowy-cheeked Laughingthrush</t>
  </si>
  <si>
    <t>Ianthocincla sukatschewi</t>
  </si>
  <si>
    <t>June 28, 2022</t>
  </si>
  <si>
    <t>Striated Laughingthrush</t>
  </si>
  <si>
    <t>Grammatoptila striata</t>
  </si>
  <si>
    <t>November 26, 2024</t>
  </si>
  <si>
    <t>Chestnut-crowned Laughingthrush</t>
  </si>
  <si>
    <t>Trochalopteron erythrocephalum</t>
  </si>
  <si>
    <t>December 2, 2024</t>
  </si>
  <si>
    <t>White-whiskered Laughingthrush</t>
  </si>
  <si>
    <t>Trochalopteron morrisonianum</t>
  </si>
  <si>
    <t>December 4, 2024</t>
  </si>
  <si>
    <t>Black-faced Laughingthrush</t>
  </si>
  <si>
    <t>Trochalopteron affine</t>
  </si>
  <si>
    <t>No Observations</t>
  </si>
  <si>
    <t>Prince Henry's Laughingthrush</t>
  </si>
  <si>
    <t>Trochalopteron henrici</t>
  </si>
  <si>
    <t>Variegated Laughingthrush</t>
  </si>
  <si>
    <t>Trochalopteron variegatum</t>
  </si>
  <si>
    <t>Elliot's Laughingthrush</t>
  </si>
  <si>
    <t>Trochalopteron elliotii</t>
  </si>
  <si>
    <t>Blue-winged Laughingthrush</t>
  </si>
  <si>
    <t>Trochalopteron squamatum</t>
  </si>
  <si>
    <t>November 10, 2024</t>
  </si>
  <si>
    <t>Brown-capped Laughingthrush</t>
  </si>
  <si>
    <t>Trochalopteron austeni</t>
  </si>
  <si>
    <t>Scaly Laughingthrush</t>
  </si>
  <si>
    <t>Trochalopteron subunicolor</t>
  </si>
  <si>
    <t>Streaked Laughingthrush</t>
  </si>
  <si>
    <t>Trochalopteron lineatum</t>
  </si>
  <si>
    <t>Striped Laughingthrush</t>
  </si>
  <si>
    <t>Trochalopteron virgatum</t>
  </si>
  <si>
    <t>Red-tailed Laughingthrush</t>
  </si>
  <si>
    <t>Trochalopteron milnei</t>
  </si>
  <si>
    <t>Red-billed Leiothrix</t>
  </si>
  <si>
    <t>Leiothrix lutea</t>
  </si>
  <si>
    <t>December 1, 2024</t>
  </si>
  <si>
    <t>Silver-eared Mesia</t>
  </si>
  <si>
    <t>Leiothrix argentauris</t>
  </si>
  <si>
    <t>Chestnut-tailed Minla</t>
  </si>
  <si>
    <t>Actinodura strigula</t>
  </si>
  <si>
    <t>Blue-winged Minla</t>
  </si>
  <si>
    <t>Actinodura cyanouroptera</t>
  </si>
  <si>
    <t>Taiwan Barwing</t>
  </si>
  <si>
    <t>Actinodura morrisoniana</t>
  </si>
  <si>
    <t>Streak-throated Barwing</t>
  </si>
  <si>
    <t>Actinodura waldeni</t>
  </si>
  <si>
    <t>Spectacled Barwing</t>
  </si>
  <si>
    <t>Actinodura ramsayi</t>
  </si>
  <si>
    <t>Rusty-fronted Barwing</t>
  </si>
  <si>
    <t>Actinodura egertoni</t>
  </si>
  <si>
    <t>Hoary-throated Barwing</t>
  </si>
  <si>
    <t>Actinodura nipalensis</t>
  </si>
  <si>
    <t>Red-tailed Minla</t>
  </si>
  <si>
    <t>Minla ignotincta</t>
  </si>
  <si>
    <t>Himalayan Cutia</t>
  </si>
  <si>
    <t>Cutia nipalensis</t>
  </si>
  <si>
    <t>October 15, 2024</t>
  </si>
  <si>
    <t>Spot-breasted Laughingthrush</t>
  </si>
  <si>
    <t>Garrulax merulinus</t>
  </si>
  <si>
    <t>April 21, 2024</t>
  </si>
  <si>
    <t>Gray Laughingthrush</t>
  </si>
  <si>
    <t>Garrulax maesi</t>
  </si>
  <si>
    <t>White-crested Laughingthrush</t>
  </si>
  <si>
    <t>Garrulax leucolophus</t>
  </si>
  <si>
    <t>Lesser Necklaced Laughingthrush</t>
  </si>
  <si>
    <t>Garrulax monileger</t>
  </si>
  <si>
    <t>December 7, 2024</t>
  </si>
  <si>
    <t>Long-tailed Sibia</t>
  </si>
  <si>
    <t>Heterophasia picaoides</t>
  </si>
  <si>
    <t>October 16, 2024</t>
  </si>
  <si>
    <t>Beautiful Sibia</t>
  </si>
  <si>
    <t>Heterophasia pulchella</t>
  </si>
  <si>
    <t>November 7, 2024</t>
  </si>
  <si>
    <t>Grey Sibia</t>
  </si>
  <si>
    <t>Heterophasia gracilis</t>
  </si>
  <si>
    <t>Rufous Sibia</t>
  </si>
  <si>
    <t>Heterophasia capistrata</t>
  </si>
  <si>
    <t>November 28, 2024</t>
  </si>
  <si>
    <t>White-eared Sibia</t>
  </si>
  <si>
    <t>Heterophasia auricularis</t>
  </si>
  <si>
    <t>Bare-cheeked Babbler</t>
  </si>
  <si>
    <t>Turdoides gymnogenys</t>
  </si>
  <si>
    <t>Spotted Crocias</t>
  </si>
  <si>
    <t>Laniellus albonotatus</t>
  </si>
  <si>
    <t>August 7, 2024</t>
  </si>
  <si>
    <t>Rufous-backed Sibia</t>
  </si>
  <si>
    <t>Leioptila annectens</t>
  </si>
  <si>
    <t>Slender-billed Babbler</t>
  </si>
  <si>
    <t>Argya longirostris</t>
  </si>
  <si>
    <t>November 11, 2024</t>
  </si>
  <si>
    <t>Rufous Babbler</t>
  </si>
  <si>
    <t>Argya subrufa</t>
  </si>
  <si>
    <t>Orange-billed Babbler</t>
  </si>
  <si>
    <t>Argya rufescens</t>
  </si>
  <si>
    <t>November 17, 2024</t>
  </si>
  <si>
    <t>Iraq Babbler</t>
  </si>
  <si>
    <t>Argya altirostris</t>
  </si>
  <si>
    <t>Common Babbler</t>
  </si>
  <si>
    <t>Argya caudata</t>
  </si>
  <si>
    <t>Striated Babbler</t>
  </si>
  <si>
    <t>Argya earlei</t>
  </si>
  <si>
    <t>White-throated Babbler</t>
  </si>
  <si>
    <t>Argya gularis</t>
  </si>
  <si>
    <t>Wayanad Laughingthrush</t>
  </si>
  <si>
    <t>Pterorhinus delesserti</t>
  </si>
  <si>
    <t>February 10, 2024</t>
  </si>
  <si>
    <t>Rufous-vented Laughingthrush</t>
  </si>
  <si>
    <t>Pterorhinus gularis</t>
  </si>
  <si>
    <t>White-cheeked Laughingthrush</t>
  </si>
  <si>
    <t>Pterorhinus vassali</t>
  </si>
  <si>
    <t>Yellow-throated Laughingthrush</t>
  </si>
  <si>
    <t>Pterorhinus galbanus</t>
  </si>
  <si>
    <t>Rufous-necked Laughingthrush</t>
  </si>
  <si>
    <t>Pterorhinus ruficollis</t>
  </si>
  <si>
    <t>Chestnut-backed Laughingthrush</t>
  </si>
  <si>
    <t>Pterorhinus nuchalis</t>
  </si>
  <si>
    <t>April 22, 2023</t>
  </si>
  <si>
    <t>White-browed Laughingthrush</t>
  </si>
  <si>
    <t>Pterorhinus sannio</t>
  </si>
  <si>
    <t>Masked Laughingthrush</t>
  </si>
  <si>
    <t>Pterorhinus perspicillatus</t>
  </si>
  <si>
    <t>Greater Necklaced Laughingthrush</t>
  </si>
  <si>
    <t>Pterorhinus pectoralis</t>
  </si>
  <si>
    <t>Tibetan Babax</t>
  </si>
  <si>
    <t>Pterorhinus koslowi</t>
  </si>
  <si>
    <t>White-throated Laughingthrush</t>
  </si>
  <si>
    <t>Pterorhinus albogularis</t>
  </si>
  <si>
    <t>November 30, 2024</t>
  </si>
  <si>
    <t>Grey-sided Laughingthrush</t>
  </si>
  <si>
    <t>Pterorhinus caerulatus</t>
  </si>
  <si>
    <t>November 5, 2024</t>
  </si>
  <si>
    <t>Pine Grosbeak</t>
  </si>
  <si>
    <t>Pinicola enucleator</t>
  </si>
  <si>
    <t>December 6, 2024</t>
  </si>
  <si>
    <t>Dark-rumped Rosefinch</t>
  </si>
  <si>
    <t>Carpodacus edwardsii</t>
  </si>
  <si>
    <t>Three-banded Rosefinch</t>
  </si>
  <si>
    <t>Carpodacus trifasciatus</t>
  </si>
  <si>
    <t>Streaked Rosefinch</t>
  </si>
  <si>
    <t>Carpodacus rubicilloides</t>
  </si>
  <si>
    <t>November 21, 2024</t>
  </si>
  <si>
    <t>Common Rosefinch</t>
  </si>
  <si>
    <t>Carpodacus erythrinus</t>
  </si>
  <si>
    <t>Pink-browed Rosefinch</t>
  </si>
  <si>
    <t>Carpodacus rodochroa</t>
  </si>
  <si>
    <t>Spot-winged Rosefinch</t>
  </si>
  <si>
    <t>Carpodacus rodopeplus</t>
  </si>
  <si>
    <t>November 27, 2024</t>
  </si>
  <si>
    <t>Crimson-browed Finch</t>
  </si>
  <si>
    <t>Carpodacus subhimachalus</t>
  </si>
  <si>
    <t>November 15, 2024</t>
  </si>
  <si>
    <t>Long-tailed Rosefinch</t>
  </si>
  <si>
    <t>Carpodacus sibiricus</t>
  </si>
  <si>
    <t>Scarlet Finch</t>
  </si>
  <si>
    <t>Carpodacus sipahi</t>
  </si>
  <si>
    <t>November 29, 2024</t>
  </si>
  <si>
    <t>Pink-rumped Rosefinch</t>
  </si>
  <si>
    <t>Carpodacus waltoni</t>
  </si>
  <si>
    <t>October 29, 2024</t>
  </si>
  <si>
    <t>Plain Mountain-Finch</t>
  </si>
  <si>
    <t>Leucosticte nemoricola</t>
  </si>
  <si>
    <t>November 19, 2024</t>
  </si>
  <si>
    <t>White-cheeked Bullfinch</t>
  </si>
  <si>
    <t>Pyrrhula leucogenis</t>
  </si>
  <si>
    <t>February 22, 2023</t>
  </si>
  <si>
    <t>Red-headed Bullfinch</t>
  </si>
  <si>
    <t>Pyrrhula erythrocephala</t>
  </si>
  <si>
    <t>Eurasian Bullfinch</t>
  </si>
  <si>
    <t>Pyrrhula pyrrhula</t>
  </si>
  <si>
    <t>Brown Bullfinch</t>
  </si>
  <si>
    <t>Pyrrhula nipalensis</t>
  </si>
  <si>
    <t>Orange Bullfinch</t>
  </si>
  <si>
    <t>Pyrrhula aurantiaca</t>
  </si>
  <si>
    <t>Citril Finch</t>
  </si>
  <si>
    <t>Carduelis citrinella</t>
  </si>
  <si>
    <t>Trumpeter Finch</t>
  </si>
  <si>
    <t>Bucanetes githagineus</t>
  </si>
  <si>
    <t>Warsangli Linnet</t>
  </si>
  <si>
    <t>Linaria johannis</t>
  </si>
  <si>
    <t>Twite</t>
  </si>
  <si>
    <t>Linaria flavirostris</t>
  </si>
  <si>
    <t>Dark-breasted Rosefinch</t>
  </si>
  <si>
    <t>Procarduelis nipalensis</t>
  </si>
  <si>
    <t>Fulvous Whistling-Duck</t>
  </si>
  <si>
    <t>Dendrocygna bicolor</t>
  </si>
  <si>
    <t>Lesser Whistling-Duck</t>
  </si>
  <si>
    <t>Dendrocygna javanica</t>
  </si>
  <si>
    <t>Northern Shoveler</t>
  </si>
  <si>
    <t>Spatula clypeata</t>
  </si>
  <si>
    <t>Garganey</t>
  </si>
  <si>
    <t>Spatula querquedula</t>
  </si>
  <si>
    <t>Baikal Teal</t>
  </si>
  <si>
    <t>Sibirionetta formosa</t>
  </si>
  <si>
    <t>White-winged Duck</t>
  </si>
  <si>
    <t>Asarcornis scutulata</t>
  </si>
  <si>
    <t>Eurasian Wigeon</t>
  </si>
  <si>
    <t>Mareca penelope</t>
  </si>
  <si>
    <t>Falcated Duck</t>
  </si>
  <si>
    <t>Mareca falcata</t>
  </si>
  <si>
    <t>Gadwall</t>
  </si>
  <si>
    <t>Mareca strepera</t>
  </si>
  <si>
    <t>Great Eared-Nightjar</t>
  </si>
  <si>
    <t>Lyncornis macrotis</t>
  </si>
  <si>
    <t>Jerdon's Nightjar</t>
  </si>
  <si>
    <t>Caprimulgus atripennis</t>
  </si>
  <si>
    <t>November 13, 2024</t>
  </si>
  <si>
    <t>Savanna Nightjar</t>
  </si>
  <si>
    <t>Caprimulgus affinis</t>
  </si>
  <si>
    <t>Indian Nightjar</t>
  </si>
  <si>
    <t>Caprimulgus asiaticus</t>
  </si>
  <si>
    <t>Eurasian Nightjar</t>
  </si>
  <si>
    <t>Caprimulgus europaeus</t>
  </si>
  <si>
    <t>Jungle Nightjar</t>
  </si>
  <si>
    <t>Caprimulgus indicus</t>
  </si>
  <si>
    <t>Sykes's Nightjar</t>
  </si>
  <si>
    <t>Caprimulgus mahrattensis</t>
  </si>
  <si>
    <t>Collared Falconet</t>
  </si>
  <si>
    <t>Microhierax caerulescens</t>
  </si>
  <si>
    <t>December 3, 2024</t>
  </si>
  <si>
    <t>Pied Falconet</t>
  </si>
  <si>
    <t>Microhierax melanoleucos</t>
  </si>
  <si>
    <t>Lesser Kestrel</t>
  </si>
  <si>
    <t>Falco naumanni</t>
  </si>
  <si>
    <t>Eurasian Kestrel</t>
  </si>
  <si>
    <t>Falco tinnunculus</t>
  </si>
  <si>
    <t>Laggar Falcon</t>
  </si>
  <si>
    <t>Falco jugger</t>
  </si>
  <si>
    <t>Saker Falcon</t>
  </si>
  <si>
    <t>Falco cherrug</t>
  </si>
  <si>
    <t>Amur Falcon</t>
  </si>
  <si>
    <t>Falco amurensis</t>
  </si>
  <si>
    <t>Merlin</t>
  </si>
  <si>
    <t>Falco columbarius</t>
  </si>
  <si>
    <t>Red-necked Falcon</t>
  </si>
  <si>
    <t>Falco chicquera</t>
  </si>
  <si>
    <t>Oriental Hobby</t>
  </si>
  <si>
    <t>Falco severus</t>
  </si>
  <si>
    <t>Peregrine Falcon</t>
  </si>
  <si>
    <t>Falco peregrinus</t>
  </si>
  <si>
    <t>Eurasian Hobby</t>
  </si>
  <si>
    <t>Falco subbuteo</t>
  </si>
  <si>
    <t>Lesser Flamingo</t>
  </si>
  <si>
    <t>Phoeniconaias minor</t>
  </si>
  <si>
    <t>Red-tailed Tropicbird</t>
  </si>
  <si>
    <t>Phaethon rubricauda</t>
  </si>
  <si>
    <t>Red-billed Tropicbird</t>
  </si>
  <si>
    <t>Phaethon aethereus</t>
  </si>
  <si>
    <t>White-tailed Tropicbird</t>
  </si>
  <si>
    <t>Phaethon lepturus</t>
  </si>
  <si>
    <t>December 5, 2024</t>
  </si>
  <si>
    <t>Malayan Night Heron</t>
  </si>
  <si>
    <t>Gorsachius melanolophus</t>
  </si>
  <si>
    <t>Striated Heron</t>
  </si>
  <si>
    <t>Butorides striata</t>
  </si>
  <si>
    <t>Indian Pond-Heron</t>
  </si>
  <si>
    <t>Ardeola grayii</t>
  </si>
  <si>
    <t>Chinese Pond-Heron</t>
  </si>
  <si>
    <t>Ardeola bacchus</t>
  </si>
  <si>
    <t>Black-crowned Night Heron</t>
  </si>
  <si>
    <t>Nycticorax nycticorax</t>
  </si>
  <si>
    <t>Medium Egret</t>
  </si>
  <si>
    <t>Ardea intermedia</t>
  </si>
  <si>
    <t>White-bellied Heron</t>
  </si>
  <si>
    <t>Ardea insignis</t>
  </si>
  <si>
    <t>Goliath Heron</t>
  </si>
  <si>
    <t>Ardea goliath</t>
  </si>
  <si>
    <t>Grey Heron</t>
  </si>
  <si>
    <t>Ardea cinerea</t>
  </si>
  <si>
    <t>Great-billed Heron</t>
  </si>
  <si>
    <t>Ardea sumatrana</t>
  </si>
  <si>
    <t>Purple Heron</t>
  </si>
  <si>
    <t>Ardea purpurea</t>
  </si>
  <si>
    <t>Eastern Cattle-Egret</t>
  </si>
  <si>
    <t>Ardea coromanda</t>
  </si>
  <si>
    <t>Great Egret</t>
  </si>
  <si>
    <t>Ardea alba</t>
  </si>
  <si>
    <t>Pacific Reef Heron</t>
  </si>
  <si>
    <t>Egretta sacra</t>
  </si>
  <si>
    <t>Little Egret</t>
  </si>
  <si>
    <t>Egretta garzetta</t>
  </si>
  <si>
    <t>Western Reef Heron</t>
  </si>
  <si>
    <t>Egretta gularis</t>
  </si>
  <si>
    <t>Eurasian Bittern</t>
  </si>
  <si>
    <t>Botaurus stellaris</t>
  </si>
  <si>
    <t>Cinnamon Bittern</t>
  </si>
  <si>
    <t>Botaurus cinnamomeus</t>
  </si>
  <si>
    <t>Black Bittern</t>
  </si>
  <si>
    <t>Botaurus flavicollis</t>
  </si>
  <si>
    <t>Yellow Bittern</t>
  </si>
  <si>
    <t>Botaurus sinensis</t>
  </si>
  <si>
    <t>Spot-billed Pelican</t>
  </si>
  <si>
    <t>Pelecanus philippensis</t>
  </si>
  <si>
    <t>Dalmatian Pelican</t>
  </si>
  <si>
    <t>Pelecanus crispus</t>
  </si>
  <si>
    <t>Great White Pelican</t>
  </si>
  <si>
    <t>Pelecanus onocrotalus</t>
  </si>
  <si>
    <t>Red-naped Ibis</t>
  </si>
  <si>
    <t>Pseudibis papillosa</t>
  </si>
  <si>
    <t>Glossy Ibis</t>
  </si>
  <si>
    <t>Plegadis falcinellus</t>
  </si>
  <si>
    <t>Black-headed Ibis</t>
  </si>
  <si>
    <t>Threskiornis melanocephalus</t>
  </si>
  <si>
    <t>Eurasian Spoonbill</t>
  </si>
  <si>
    <t>Platalea leucorodia</t>
  </si>
  <si>
    <t>Black-bellied Storm-Petrel</t>
  </si>
  <si>
    <t>Fregetta tropica</t>
  </si>
  <si>
    <t>White-faced Storm-Petrel</t>
  </si>
  <si>
    <t>Pelagodroma marina</t>
  </si>
  <si>
    <t>Wilson's Storm-Petrel</t>
  </si>
  <si>
    <t>Oceanites oceanicus</t>
  </si>
  <si>
    <t>Swinhoe's Storm-Petrel</t>
  </si>
  <si>
    <t>Hydrobates monorhis</t>
  </si>
  <si>
    <t>Wedge-tailed Shearwater</t>
  </si>
  <si>
    <t>Ardenna pacifica</t>
  </si>
  <si>
    <t>Flesh-footed Shearwater</t>
  </si>
  <si>
    <t>Ardenna carneipes</t>
  </si>
  <si>
    <t>Streaked Shearwater</t>
  </si>
  <si>
    <t>Calonectris leucomelas</t>
  </si>
  <si>
    <t>Bulwer's Petrel</t>
  </si>
  <si>
    <t>Bulweria bulwerii</t>
  </si>
  <si>
    <t>October 20, 2024</t>
  </si>
  <si>
    <t>Jouanin's Petrel</t>
  </si>
  <si>
    <t>Bulweria fallax</t>
  </si>
  <si>
    <t>Christmas Shearwater</t>
  </si>
  <si>
    <t>Puffinus nativitatis</t>
  </si>
  <si>
    <t>Barau's Petrel</t>
  </si>
  <si>
    <t>Pterodroma baraui</t>
  </si>
  <si>
    <t>Little Grebe</t>
  </si>
  <si>
    <t>Tachybaptus ruficollis</t>
  </si>
  <si>
    <t>Red-necked Grebe</t>
  </si>
  <si>
    <t>Podiceps grisegena</t>
  </si>
  <si>
    <t>Horned Grebe</t>
  </si>
  <si>
    <t>Podiceps auritus</t>
  </si>
  <si>
    <t>Great Crested Grebe</t>
  </si>
  <si>
    <t>Podiceps cristatus</t>
  </si>
  <si>
    <t>Eared Grebe</t>
  </si>
  <si>
    <t>Podiceps nigricollis</t>
  </si>
  <si>
    <t>Arctic Loon</t>
  </si>
  <si>
    <t>Gavia arctica</t>
  </si>
  <si>
    <t>Pomarine Jaeger</t>
  </si>
  <si>
    <t>Stercorarius pomarinus</t>
  </si>
  <si>
    <t>Parasitic Jaeger</t>
  </si>
  <si>
    <t>Stercorarius parasiticus</t>
  </si>
  <si>
    <t>Brown Skua</t>
  </si>
  <si>
    <t>Stercorarius antarcticus</t>
  </si>
  <si>
    <t>South Polar Skua</t>
  </si>
  <si>
    <t>Stercorarius maccormicki</t>
  </si>
  <si>
    <t>Pied Avocet</t>
  </si>
  <si>
    <t>Recurvirostra avosetta</t>
  </si>
  <si>
    <t>Black-winged Stilt</t>
  </si>
  <si>
    <t>Himantopus himantopus</t>
  </si>
  <si>
    <t>Ibisbill</t>
  </si>
  <si>
    <t>Ibidorhyncha struthersii</t>
  </si>
  <si>
    <t>Eurasian Oystercatcher</t>
  </si>
  <si>
    <t>Haematopus ostralegus</t>
  </si>
  <si>
    <t>Crab-Plover</t>
  </si>
  <si>
    <t>Dromas ardeola</t>
  </si>
  <si>
    <t>Indian Stone-Curlew</t>
  </si>
  <si>
    <t>Burhinus indicus</t>
  </si>
  <si>
    <t>Great Stone-Curlew</t>
  </si>
  <si>
    <t>Esacus recurvirostris</t>
  </si>
  <si>
    <t>Beach Stone-Curlew</t>
  </si>
  <si>
    <t>Esacus magnirostris</t>
  </si>
  <si>
    <t>Long-billed Plover</t>
  </si>
  <si>
    <t>Thinornis placidus</t>
  </si>
  <si>
    <t>Little Ringed Plover</t>
  </si>
  <si>
    <t>Thinornis dubius</t>
  </si>
  <si>
    <t>Black-fronted Dotterel</t>
  </si>
  <si>
    <t>Thinornis melanops</t>
  </si>
  <si>
    <t>Tibetan Sand Plover</t>
  </si>
  <si>
    <t>Anarhynchus atrifrons</t>
  </si>
  <si>
    <t>Greater Sand Plover</t>
  </si>
  <si>
    <t>Anarhynchus leschenaultii</t>
  </si>
  <si>
    <t>Oriental Plover</t>
  </si>
  <si>
    <t>Anarhynchus veredus</t>
  </si>
  <si>
    <t>Kentish Plover</t>
  </si>
  <si>
    <t>Anarhynchus alexandrinus</t>
  </si>
  <si>
    <t>Pacific Golden Plover</t>
  </si>
  <si>
    <t>Pluvialis fulva</t>
  </si>
  <si>
    <t>Black-bellied Plover</t>
  </si>
  <si>
    <t>Pluvialis squatarola</t>
  </si>
  <si>
    <t>European Golden Plover</t>
  </si>
  <si>
    <t>Pluvialis apricaria</t>
  </si>
  <si>
    <t>Grey-headed Lapwing</t>
  </si>
  <si>
    <t>Vanellus cinereus</t>
  </si>
  <si>
    <t>Red-wattled Lapwing</t>
  </si>
  <si>
    <t>Vanellus indicus</t>
  </si>
  <si>
    <t>White-tailed Lapwing</t>
  </si>
  <si>
    <t>Vanellus leucurus</t>
  </si>
  <si>
    <t>November 25, 2024</t>
  </si>
  <si>
    <t>Sociable Lapwing</t>
  </si>
  <si>
    <t>Vanellus gregarius</t>
  </si>
  <si>
    <t>Northern Lapwing</t>
  </si>
  <si>
    <t>Vanellus vanellus</t>
  </si>
  <si>
    <t>River Lapwing</t>
  </si>
  <si>
    <t>Vanellus duvaucelii</t>
  </si>
  <si>
    <t>Yellow-wattled Lapwing</t>
  </si>
  <si>
    <t>Vanellus malabaricus</t>
  </si>
  <si>
    <t>Common Ringed Plover</t>
  </si>
  <si>
    <t>Charadrius hiaticula</t>
  </si>
  <si>
    <t>Jerdon's Courser</t>
  </si>
  <si>
    <t>Rhinoptilus bitorquatus</t>
  </si>
  <si>
    <t>Collared Pratincole</t>
  </si>
  <si>
    <t>Glareola pratincola</t>
  </si>
  <si>
    <t>Small Pratincole</t>
  </si>
  <si>
    <t>Glareola lactea</t>
  </si>
  <si>
    <t>Oriental Pratincole</t>
  </si>
  <si>
    <t>Glareola maldivarum</t>
  </si>
  <si>
    <t>Indian Courser</t>
  </si>
  <si>
    <t>Cursorius coromandelicus</t>
  </si>
  <si>
    <t>Cream-coloured Courser</t>
  </si>
  <si>
    <t>Cursorius cursor</t>
  </si>
  <si>
    <t>Pheasant-tailed Jacana</t>
  </si>
  <si>
    <t>Hydrophasianus chirurgus</t>
  </si>
  <si>
    <t>Bronze-winged Jacana</t>
  </si>
  <si>
    <t>Metopidius indicus</t>
  </si>
  <si>
    <t>Year</t>
  </si>
  <si>
    <t>No Observation</t>
  </si>
  <si>
    <t>Number of species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</si>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</sst>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0" borderId="10" xfId="0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vi-VN" sz="1600" b="1" i="0" u="none" strike="noStrike" kern="1200" baseline="0">
                <a:solidFill>
                  <a:srgbClr val="0E2841"/>
                </a:solidFill>
              </a:rPr>
              <a:t>Number of species</a:t>
            </a:r>
            <a:r>
              <a:rPr lang="en-US" sz="1600" b="1" i="0" u="none" strike="noStrike" kern="1200" baseline="0">
                <a:solidFill>
                  <a:srgbClr val="0E2841"/>
                </a:solidFill>
              </a:rPr>
              <a:t> are observed by year</a:t>
            </a:r>
            <a:endParaRPr lang="vi-VN" sz="1600" b="1" i="0" u="none" strike="noStrike" kern="1200" baseline="0">
              <a:solidFill>
                <a:srgbClr val="0E284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'Birds of India'!$H$3</c:f>
              <c:strCache>
                <c:ptCount val="1"/>
                <c:pt idx="0">
                  <c:v>Number of species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'Birds of India'!$G$4:$G$7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No Observation</c:v>
                </c:pt>
              </c:strCache>
            </c:strRef>
          </c:cat>
          <c:val>
            <c:numRef>
              <c:f>'Birds of India'!$H$4:$H$7</c:f>
              <c:numCache>
                <c:formatCode>General</c:formatCode>
                <c:ptCount val="4"/>
                <c:pt idx="0">
                  <c:v>121</c:v>
                </c:pt>
                <c:pt idx="1">
                  <c:v>2</c:v>
                </c:pt>
                <c:pt idx="2">
                  <c:v>1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B-4783-AB93-6F4DFB3DC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5191776"/>
        <c:axId val="1555192736"/>
      </c:barChart>
      <c:catAx>
        <c:axId val="15551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55192736"/>
        <c:crosses val="autoZero"/>
        <c:auto val="1"/>
        <c:lblAlgn val="ctr"/>
        <c:lblOffset val="100"/>
        <c:noMultiLvlLbl val="0"/>
      </c:catAx>
      <c:valAx>
        <c:axId val="15551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5519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vi-VN" sz="1600" b="0" i="0" u="none" strike="noStrike" baseline="0">
                <a:effectLst/>
              </a:rPr>
              <a:t>Imbalance in Monitoring Intensity</a:t>
            </a:r>
            <a:endParaRPr lang="en-US"/>
          </a:p>
        </c:rich>
      </c:tx>
      <c:layout>
        <c:manualLayout>
          <c:xMode val="edge"/>
          <c:yMode val="edge"/>
          <c:x val="0.172958223972003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range!$B$1</c:f>
              <c:strCache>
                <c:ptCount val="1"/>
                <c:pt idx="0">
                  <c:v>total observations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range!$A$2:$A$200</c:f>
              <c:strCache>
                <c:ptCount val="199"/>
                <c:pt idx="0">
                  <c:v>Great Egret</c:v>
                </c:pt>
                <c:pt idx="1">
                  <c:v>Grey Heron</c:v>
                </c:pt>
                <c:pt idx="2">
                  <c:v>Black-crowned Night Heron</c:v>
                </c:pt>
                <c:pt idx="3">
                  <c:v>Northern Shoveler</c:v>
                </c:pt>
                <c:pt idx="4">
                  <c:v>Gadwall</c:v>
                </c:pt>
                <c:pt idx="5">
                  <c:v>Little Egret</c:v>
                </c:pt>
                <c:pt idx="6">
                  <c:v>Great Crested Grebe</c:v>
                </c:pt>
                <c:pt idx="7">
                  <c:v>Eurasian Bullfinch</c:v>
                </c:pt>
                <c:pt idx="8">
                  <c:v>Northern Lapwing</c:v>
                </c:pt>
                <c:pt idx="9">
                  <c:v>Little Grebe</c:v>
                </c:pt>
                <c:pt idx="10">
                  <c:v>Merlin</c:v>
                </c:pt>
                <c:pt idx="11">
                  <c:v>Eurasian Wigeon</c:v>
                </c:pt>
                <c:pt idx="12">
                  <c:v>Eared Grebe</c:v>
                </c:pt>
                <c:pt idx="13">
                  <c:v>Eurasian Oystercatcher</c:v>
                </c:pt>
                <c:pt idx="14">
                  <c:v>Glossy Ibis</c:v>
                </c:pt>
                <c:pt idx="15">
                  <c:v>Horned Grebe</c:v>
                </c:pt>
                <c:pt idx="16">
                  <c:v>Little Ringed Plover</c:v>
                </c:pt>
                <c:pt idx="17">
                  <c:v>Eastern Cattle-Egret</c:v>
                </c:pt>
                <c:pt idx="18">
                  <c:v>Common Ringed Plover</c:v>
                </c:pt>
                <c:pt idx="19">
                  <c:v>Purple Heron</c:v>
                </c:pt>
                <c:pt idx="20">
                  <c:v>Pied Avocet</c:v>
                </c:pt>
                <c:pt idx="21">
                  <c:v>Eurasian Spoonbill</c:v>
                </c:pt>
                <c:pt idx="22">
                  <c:v>Red-necked Grebe</c:v>
                </c:pt>
                <c:pt idx="23">
                  <c:v>Garganey</c:v>
                </c:pt>
                <c:pt idx="24">
                  <c:v>Pacific Golden Plover</c:v>
                </c:pt>
                <c:pt idx="25">
                  <c:v>Malayan Night Heron</c:v>
                </c:pt>
                <c:pt idx="26">
                  <c:v>Pine Grosbeak</c:v>
                </c:pt>
                <c:pt idx="27">
                  <c:v>Eurasian Hobby</c:v>
                </c:pt>
                <c:pt idx="28">
                  <c:v>Kentish Plover</c:v>
                </c:pt>
                <c:pt idx="29">
                  <c:v>Red-wattled Lapwing</c:v>
                </c:pt>
                <c:pt idx="30">
                  <c:v>Indian Pond-Heron</c:v>
                </c:pt>
                <c:pt idx="31">
                  <c:v>Pacific Reef Heron</c:v>
                </c:pt>
                <c:pt idx="32">
                  <c:v>Fulvous Whistling-Duck</c:v>
                </c:pt>
                <c:pt idx="33">
                  <c:v>European Golden Plover</c:v>
                </c:pt>
                <c:pt idx="34">
                  <c:v>Great White Pelican</c:v>
                </c:pt>
                <c:pt idx="35">
                  <c:v>Lesser Kestrel</c:v>
                </c:pt>
                <c:pt idx="36">
                  <c:v>Arctic Loon</c:v>
                </c:pt>
                <c:pt idx="37">
                  <c:v>Lesser Whistling-Duck</c:v>
                </c:pt>
                <c:pt idx="38">
                  <c:v>Black-fronted Dotterel</c:v>
                </c:pt>
                <c:pt idx="39">
                  <c:v>Black-headed Ibis</c:v>
                </c:pt>
                <c:pt idx="40">
                  <c:v>Dalmatian Pelican</c:v>
                </c:pt>
                <c:pt idx="41">
                  <c:v>Eurasian Nightjar</c:v>
                </c:pt>
                <c:pt idx="42">
                  <c:v>Western Reef Heron</c:v>
                </c:pt>
                <c:pt idx="43">
                  <c:v>Yellow Bittern</c:v>
                </c:pt>
                <c:pt idx="44">
                  <c:v>Tibetan Sand Plover</c:v>
                </c:pt>
                <c:pt idx="45">
                  <c:v>Pomarine Jaeger</c:v>
                </c:pt>
                <c:pt idx="46">
                  <c:v>Greater Sand Plover</c:v>
                </c:pt>
                <c:pt idx="47">
                  <c:v>Goliath Heron</c:v>
                </c:pt>
                <c:pt idx="48">
                  <c:v>Spot-billed Pelican</c:v>
                </c:pt>
                <c:pt idx="49">
                  <c:v>Eurasian Bittern</c:v>
                </c:pt>
                <c:pt idx="50">
                  <c:v>Collared Pratincole</c:v>
                </c:pt>
                <c:pt idx="51">
                  <c:v>White-tailed Tropicbird</c:v>
                </c:pt>
                <c:pt idx="52">
                  <c:v>White-whiskered Laughingthrush</c:v>
                </c:pt>
                <c:pt idx="53">
                  <c:v>Red-naped Ibis</c:v>
                </c:pt>
                <c:pt idx="54">
                  <c:v>White-crested Laughingthrush</c:v>
                </c:pt>
                <c:pt idx="55">
                  <c:v>Savanna Nightjar</c:v>
                </c:pt>
                <c:pt idx="56">
                  <c:v>Falcated Duck</c:v>
                </c:pt>
                <c:pt idx="57">
                  <c:v>Red-billed Tropicbird</c:v>
                </c:pt>
                <c:pt idx="58">
                  <c:v>Grey-headed Lapwing</c:v>
                </c:pt>
                <c:pt idx="59">
                  <c:v>Beach Stone-Curlew</c:v>
                </c:pt>
                <c:pt idx="60">
                  <c:v>Red-tailed Tropicbird</c:v>
                </c:pt>
                <c:pt idx="61">
                  <c:v>Twite</c:v>
                </c:pt>
                <c:pt idx="62">
                  <c:v>Yellow-wattled Lapwing</c:v>
                </c:pt>
                <c:pt idx="63">
                  <c:v>Cinnamon Bittern</c:v>
                </c:pt>
                <c:pt idx="64">
                  <c:v>Greater Necklaced Laughingthrush</c:v>
                </c:pt>
                <c:pt idx="65">
                  <c:v>South Polar Skua</c:v>
                </c:pt>
                <c:pt idx="66">
                  <c:v>White-browed Laughingthrush</c:v>
                </c:pt>
                <c:pt idx="67">
                  <c:v>White-eared Sibia</c:v>
                </c:pt>
                <c:pt idx="68">
                  <c:v>Long-billed Plover</c:v>
                </c:pt>
                <c:pt idx="69">
                  <c:v>Blue-winged Minla</c:v>
                </c:pt>
                <c:pt idx="70">
                  <c:v>Silver-eared Mesia</c:v>
                </c:pt>
                <c:pt idx="71">
                  <c:v>Trumpeter Finch</c:v>
                </c:pt>
                <c:pt idx="72">
                  <c:v>Rufous Sibia</c:v>
                </c:pt>
                <c:pt idx="73">
                  <c:v>Saker Falcon</c:v>
                </c:pt>
                <c:pt idx="74">
                  <c:v>Black Bittern</c:v>
                </c:pt>
                <c:pt idx="75">
                  <c:v>Flesh-footed Shearwater</c:v>
                </c:pt>
                <c:pt idx="76">
                  <c:v>Great-billed Heron</c:v>
                </c:pt>
                <c:pt idx="77">
                  <c:v>White-tailed Lapwing</c:v>
                </c:pt>
                <c:pt idx="78">
                  <c:v>River Lapwing</c:v>
                </c:pt>
                <c:pt idx="79">
                  <c:v>Red-necked Falcon</c:v>
                </c:pt>
                <c:pt idx="80">
                  <c:v>Brown-cheeked Fulvetta</c:v>
                </c:pt>
                <c:pt idx="81">
                  <c:v>Crab-Plover</c:v>
                </c:pt>
                <c:pt idx="82">
                  <c:v>Striated Laughingthrush</c:v>
                </c:pt>
                <c:pt idx="83">
                  <c:v>Bulwer's Petrel</c:v>
                </c:pt>
                <c:pt idx="84">
                  <c:v>Taiwan Barwing</c:v>
                </c:pt>
                <c:pt idx="85">
                  <c:v>Elliot's Laughingthrush</c:v>
                </c:pt>
                <c:pt idx="86">
                  <c:v>Long-tailed Sibia</c:v>
                </c:pt>
                <c:pt idx="87">
                  <c:v>Chestnut-crowned Laughingthrush</c:v>
                </c:pt>
                <c:pt idx="88">
                  <c:v>Collared Falconet</c:v>
                </c:pt>
                <c:pt idx="89">
                  <c:v>Ibisbill</c:v>
                </c:pt>
                <c:pt idx="90">
                  <c:v>Striated Babbler</c:v>
                </c:pt>
                <c:pt idx="91">
                  <c:v>Brown Bullfinch</c:v>
                </c:pt>
                <c:pt idx="92">
                  <c:v>Oriental Plover</c:v>
                </c:pt>
                <c:pt idx="93">
                  <c:v>Nepal Fulvetta</c:v>
                </c:pt>
                <c:pt idx="94">
                  <c:v>Dark-breasted Rosefinch</c:v>
                </c:pt>
                <c:pt idx="95">
                  <c:v>Bare-cheeked Babbler</c:v>
                </c:pt>
                <c:pt idx="96">
                  <c:v>Brown Fulvetta</c:v>
                </c:pt>
                <c:pt idx="97">
                  <c:v>Spotted Laughingthrush</c:v>
                </c:pt>
                <c:pt idx="98">
                  <c:v>Scarlet Finch</c:v>
                </c:pt>
                <c:pt idx="99">
                  <c:v>Orange-billed Babbler</c:v>
                </c:pt>
                <c:pt idx="100">
                  <c:v>Jerdon's Nightjar</c:v>
                </c:pt>
                <c:pt idx="101">
                  <c:v>Himalayan Cutia</c:v>
                </c:pt>
                <c:pt idx="102">
                  <c:v>Swinhoe's Storm-Petrel</c:v>
                </c:pt>
                <c:pt idx="103">
                  <c:v>Beautiful Sibia</c:v>
                </c:pt>
                <c:pt idx="104">
                  <c:v>Rufous-chinned Laughingthrush</c:v>
                </c:pt>
                <c:pt idx="105">
                  <c:v>Spectacled Barwing</c:v>
                </c:pt>
                <c:pt idx="106">
                  <c:v>Oriental Hobby</c:v>
                </c:pt>
                <c:pt idx="107">
                  <c:v>Giant Laughingthrush</c:v>
                </c:pt>
                <c:pt idx="108">
                  <c:v>Grey-sided Laughingthrush</c:v>
                </c:pt>
                <c:pt idx="109">
                  <c:v>Barau's Petrel</c:v>
                </c:pt>
                <c:pt idx="110">
                  <c:v>Spot-winged Rosefinch</c:v>
                </c:pt>
                <c:pt idx="111">
                  <c:v>Dark-rumped Rosefinch</c:v>
                </c:pt>
                <c:pt idx="112">
                  <c:v>White-bellied Heron</c:v>
                </c:pt>
                <c:pt idx="113">
                  <c:v>Streaked Rosefinch</c:v>
                </c:pt>
                <c:pt idx="114">
                  <c:v>Christmas Shearwater</c:v>
                </c:pt>
                <c:pt idx="115">
                  <c:v>Pink-rumped Rosefinch</c:v>
                </c:pt>
                <c:pt idx="116">
                  <c:v>Red-tailed Laughingthrush</c:v>
                </c:pt>
                <c:pt idx="117">
                  <c:v>Crimson-browed Finch</c:v>
                </c:pt>
                <c:pt idx="118">
                  <c:v>Striped Laughingthrush</c:v>
                </c:pt>
                <c:pt idx="119">
                  <c:v>Orange Bullfinch</c:v>
                </c:pt>
                <c:pt idx="120">
                  <c:v>Wayanad Laughingthrush</c:v>
                </c:pt>
                <c:pt idx="121">
                  <c:v>Spotted Crocias</c:v>
                </c:pt>
                <c:pt idx="122">
                  <c:v>Moustached Laughingthrush</c:v>
                </c:pt>
                <c:pt idx="123">
                  <c:v>Three-banded Rosefinch</c:v>
                </c:pt>
                <c:pt idx="124">
                  <c:v>Spot-breasted Laughingthrush</c:v>
                </c:pt>
                <c:pt idx="125">
                  <c:v>White-cheeked Bullfinch</c:v>
                </c:pt>
                <c:pt idx="126">
                  <c:v>Snowy-cheeked Laughingthrush</c:v>
                </c:pt>
                <c:pt idx="127">
                  <c:v>Chestnut-backed Laughingthrush</c:v>
                </c:pt>
                <c:pt idx="128">
                  <c:v>Rufous-vented Laughingthrush</c:v>
                </c:pt>
                <c:pt idx="129">
                  <c:v>Black-faced Laughingthrush</c:v>
                </c:pt>
                <c:pt idx="130">
                  <c:v>Prince Henry's Laughingthrush</c:v>
                </c:pt>
                <c:pt idx="131">
                  <c:v>Variegated Laughingthrush</c:v>
                </c:pt>
                <c:pt idx="132">
                  <c:v>Blue-winged Laughingthrush</c:v>
                </c:pt>
                <c:pt idx="133">
                  <c:v>Brown-capped Laughingthrush</c:v>
                </c:pt>
                <c:pt idx="134">
                  <c:v>Scaly Laughingthrush</c:v>
                </c:pt>
                <c:pt idx="135">
                  <c:v>Streaked Laughingthrush</c:v>
                </c:pt>
                <c:pt idx="136">
                  <c:v>Red-billed Leiothrix</c:v>
                </c:pt>
                <c:pt idx="137">
                  <c:v>Chestnut-tailed Minla</c:v>
                </c:pt>
                <c:pt idx="138">
                  <c:v>Streak-throated Barwing</c:v>
                </c:pt>
                <c:pt idx="139">
                  <c:v>Rusty-fronted Barwing</c:v>
                </c:pt>
                <c:pt idx="140">
                  <c:v>Hoary-throated Barwing</c:v>
                </c:pt>
                <c:pt idx="141">
                  <c:v>Red-tailed Minla</c:v>
                </c:pt>
                <c:pt idx="142">
                  <c:v>Gray Laughingthrush</c:v>
                </c:pt>
                <c:pt idx="143">
                  <c:v>Lesser Necklaced Laughingthrush</c:v>
                </c:pt>
                <c:pt idx="144">
                  <c:v>Grey Sibia</c:v>
                </c:pt>
                <c:pt idx="145">
                  <c:v>Rufous-backed Sibia</c:v>
                </c:pt>
                <c:pt idx="146">
                  <c:v>Slender-billed Babbler</c:v>
                </c:pt>
                <c:pt idx="147">
                  <c:v>Rufous Babbler</c:v>
                </c:pt>
                <c:pt idx="148">
                  <c:v>Iraq Babbler</c:v>
                </c:pt>
                <c:pt idx="149">
                  <c:v>Common Babbler</c:v>
                </c:pt>
                <c:pt idx="150">
                  <c:v>White-throated Babbler</c:v>
                </c:pt>
                <c:pt idx="151">
                  <c:v>White-cheeked Laughingthrush</c:v>
                </c:pt>
                <c:pt idx="152">
                  <c:v>Yellow-throated Laughingthrush</c:v>
                </c:pt>
                <c:pt idx="153">
                  <c:v>Rufous-necked Laughingthrush</c:v>
                </c:pt>
                <c:pt idx="154">
                  <c:v>Masked Laughingthrush</c:v>
                </c:pt>
                <c:pt idx="155">
                  <c:v>Tibetan Babax</c:v>
                </c:pt>
                <c:pt idx="156">
                  <c:v>White-throated Laughingthrush</c:v>
                </c:pt>
                <c:pt idx="157">
                  <c:v>Common Rosefinch</c:v>
                </c:pt>
                <c:pt idx="158">
                  <c:v>Pink-browed Rosefinch</c:v>
                </c:pt>
                <c:pt idx="159">
                  <c:v>Long-tailed Rosefinch</c:v>
                </c:pt>
                <c:pt idx="160">
                  <c:v>Plain Mountain-Finch</c:v>
                </c:pt>
                <c:pt idx="161">
                  <c:v>Red-headed Bullfinch</c:v>
                </c:pt>
                <c:pt idx="162">
                  <c:v>Citril Finch</c:v>
                </c:pt>
                <c:pt idx="163">
                  <c:v>Warsangli Linnet</c:v>
                </c:pt>
                <c:pt idx="164">
                  <c:v>Baikal Teal</c:v>
                </c:pt>
                <c:pt idx="165">
                  <c:v>White-winged Duck</c:v>
                </c:pt>
                <c:pt idx="166">
                  <c:v>Great Eared-Nightjar</c:v>
                </c:pt>
                <c:pt idx="167">
                  <c:v>Indian Nightjar</c:v>
                </c:pt>
                <c:pt idx="168">
                  <c:v>Jungle Nightjar</c:v>
                </c:pt>
                <c:pt idx="169">
                  <c:v>Sykes's Nightjar</c:v>
                </c:pt>
                <c:pt idx="170">
                  <c:v>Pied Falconet</c:v>
                </c:pt>
                <c:pt idx="171">
                  <c:v>Eurasian Kestrel</c:v>
                </c:pt>
                <c:pt idx="172">
                  <c:v>Laggar Falcon</c:v>
                </c:pt>
                <c:pt idx="173">
                  <c:v>Amur Falcon</c:v>
                </c:pt>
                <c:pt idx="174">
                  <c:v>Peregrine Falcon</c:v>
                </c:pt>
                <c:pt idx="175">
                  <c:v>Lesser Flamingo</c:v>
                </c:pt>
                <c:pt idx="176">
                  <c:v>Striated Heron</c:v>
                </c:pt>
                <c:pt idx="177">
                  <c:v>Chinese Pond-Heron</c:v>
                </c:pt>
                <c:pt idx="178">
                  <c:v>Medium Egret</c:v>
                </c:pt>
                <c:pt idx="179">
                  <c:v>Black-bellied Storm-Petrel</c:v>
                </c:pt>
                <c:pt idx="180">
                  <c:v>White-faced Storm-Petrel</c:v>
                </c:pt>
                <c:pt idx="181">
                  <c:v>Wilson's Storm-Petrel</c:v>
                </c:pt>
                <c:pt idx="182">
                  <c:v>Wedge-tailed Shearwater</c:v>
                </c:pt>
                <c:pt idx="183">
                  <c:v>Streaked Shearwater</c:v>
                </c:pt>
                <c:pt idx="184">
                  <c:v>Jouanin's Petrel</c:v>
                </c:pt>
                <c:pt idx="185">
                  <c:v>Parasitic Jaeger</c:v>
                </c:pt>
                <c:pt idx="186">
                  <c:v>Brown Skua</c:v>
                </c:pt>
                <c:pt idx="187">
                  <c:v>Black-winged Stilt</c:v>
                </c:pt>
                <c:pt idx="188">
                  <c:v>Indian Stone-Curlew</c:v>
                </c:pt>
                <c:pt idx="189">
                  <c:v>Great Stone-Curlew</c:v>
                </c:pt>
                <c:pt idx="190">
                  <c:v>Black-bellied Plover</c:v>
                </c:pt>
                <c:pt idx="191">
                  <c:v>Sociable Lapwing</c:v>
                </c:pt>
                <c:pt idx="192">
                  <c:v>Jerdon's Courser</c:v>
                </c:pt>
                <c:pt idx="193">
                  <c:v>Small Pratincole</c:v>
                </c:pt>
                <c:pt idx="194">
                  <c:v>Oriental Pratincole</c:v>
                </c:pt>
                <c:pt idx="195">
                  <c:v>Indian Courser</c:v>
                </c:pt>
                <c:pt idx="196">
                  <c:v>Cream-coloured Courser</c:v>
                </c:pt>
                <c:pt idx="197">
                  <c:v>Pheasant-tailed Jacana</c:v>
                </c:pt>
                <c:pt idx="198">
                  <c:v>Bronze-winged Jacana</c:v>
                </c:pt>
              </c:strCache>
            </c:strRef>
          </c:cat>
          <c:val>
            <c:numRef>
              <c:f>range!$B$2:$B$200</c:f>
              <c:numCache>
                <c:formatCode>#,##0</c:formatCode>
                <c:ptCount val="199"/>
                <c:pt idx="0">
                  <c:v>262358</c:v>
                </c:pt>
                <c:pt idx="1">
                  <c:v>138709</c:v>
                </c:pt>
                <c:pt idx="2">
                  <c:v>106922</c:v>
                </c:pt>
                <c:pt idx="3">
                  <c:v>89127</c:v>
                </c:pt>
                <c:pt idx="4">
                  <c:v>72233</c:v>
                </c:pt>
                <c:pt idx="5">
                  <c:v>70119</c:v>
                </c:pt>
                <c:pt idx="6">
                  <c:v>59433</c:v>
                </c:pt>
                <c:pt idx="7">
                  <c:v>50666</c:v>
                </c:pt>
                <c:pt idx="8">
                  <c:v>34499</c:v>
                </c:pt>
                <c:pt idx="9">
                  <c:v>31759</c:v>
                </c:pt>
                <c:pt idx="10">
                  <c:v>25892</c:v>
                </c:pt>
                <c:pt idx="11">
                  <c:v>25886</c:v>
                </c:pt>
                <c:pt idx="12">
                  <c:v>25331</c:v>
                </c:pt>
                <c:pt idx="13">
                  <c:v>24451</c:v>
                </c:pt>
                <c:pt idx="14">
                  <c:v>21829</c:v>
                </c:pt>
                <c:pt idx="15">
                  <c:v>21425</c:v>
                </c:pt>
                <c:pt idx="16">
                  <c:v>19046</c:v>
                </c:pt>
                <c:pt idx="17">
                  <c:v>17273</c:v>
                </c:pt>
                <c:pt idx="18">
                  <c:v>14950</c:v>
                </c:pt>
                <c:pt idx="19">
                  <c:v>14555</c:v>
                </c:pt>
                <c:pt idx="20">
                  <c:v>14374</c:v>
                </c:pt>
                <c:pt idx="21">
                  <c:v>12769</c:v>
                </c:pt>
                <c:pt idx="22">
                  <c:v>12685</c:v>
                </c:pt>
                <c:pt idx="23">
                  <c:v>12093</c:v>
                </c:pt>
                <c:pt idx="24">
                  <c:v>10433</c:v>
                </c:pt>
                <c:pt idx="25">
                  <c:v>10232</c:v>
                </c:pt>
                <c:pt idx="26">
                  <c:v>9853</c:v>
                </c:pt>
                <c:pt idx="27">
                  <c:v>8963</c:v>
                </c:pt>
                <c:pt idx="28">
                  <c:v>8879</c:v>
                </c:pt>
                <c:pt idx="29">
                  <c:v>8290</c:v>
                </c:pt>
                <c:pt idx="30">
                  <c:v>7717</c:v>
                </c:pt>
                <c:pt idx="31">
                  <c:v>6484</c:v>
                </c:pt>
                <c:pt idx="32">
                  <c:v>5252</c:v>
                </c:pt>
                <c:pt idx="33">
                  <c:v>5174</c:v>
                </c:pt>
                <c:pt idx="34">
                  <c:v>4589</c:v>
                </c:pt>
                <c:pt idx="35">
                  <c:v>3742</c:v>
                </c:pt>
                <c:pt idx="36">
                  <c:v>3724</c:v>
                </c:pt>
                <c:pt idx="37">
                  <c:v>3614</c:v>
                </c:pt>
                <c:pt idx="38">
                  <c:v>3452</c:v>
                </c:pt>
                <c:pt idx="39">
                  <c:v>2948</c:v>
                </c:pt>
                <c:pt idx="40">
                  <c:v>2813</c:v>
                </c:pt>
                <c:pt idx="41">
                  <c:v>2710</c:v>
                </c:pt>
                <c:pt idx="42">
                  <c:v>2677</c:v>
                </c:pt>
                <c:pt idx="43">
                  <c:v>2609</c:v>
                </c:pt>
                <c:pt idx="44">
                  <c:v>2395</c:v>
                </c:pt>
                <c:pt idx="45">
                  <c:v>2333</c:v>
                </c:pt>
                <c:pt idx="46">
                  <c:v>2331</c:v>
                </c:pt>
                <c:pt idx="47">
                  <c:v>2306</c:v>
                </c:pt>
                <c:pt idx="48">
                  <c:v>2289</c:v>
                </c:pt>
                <c:pt idx="49">
                  <c:v>2193</c:v>
                </c:pt>
                <c:pt idx="50">
                  <c:v>2089</c:v>
                </c:pt>
                <c:pt idx="51">
                  <c:v>1698</c:v>
                </c:pt>
                <c:pt idx="52">
                  <c:v>1660</c:v>
                </c:pt>
                <c:pt idx="53">
                  <c:v>1491</c:v>
                </c:pt>
                <c:pt idx="54">
                  <c:v>1457</c:v>
                </c:pt>
                <c:pt idx="55">
                  <c:v>1363</c:v>
                </c:pt>
                <c:pt idx="56">
                  <c:v>1351</c:v>
                </c:pt>
                <c:pt idx="57">
                  <c:v>1313</c:v>
                </c:pt>
                <c:pt idx="58">
                  <c:v>1290</c:v>
                </c:pt>
                <c:pt idx="59">
                  <c:v>1156</c:v>
                </c:pt>
                <c:pt idx="60">
                  <c:v>1120</c:v>
                </c:pt>
                <c:pt idx="61">
                  <c:v>1105</c:v>
                </c:pt>
                <c:pt idx="62">
                  <c:v>1105</c:v>
                </c:pt>
                <c:pt idx="63">
                  <c:v>1037</c:v>
                </c:pt>
                <c:pt idx="64">
                  <c:v>1027</c:v>
                </c:pt>
                <c:pt idx="65">
                  <c:v>1003</c:v>
                </c:pt>
                <c:pt idx="66" formatCode="General">
                  <c:v>955</c:v>
                </c:pt>
                <c:pt idx="67" formatCode="General">
                  <c:v>924</c:v>
                </c:pt>
                <c:pt idx="68" formatCode="General">
                  <c:v>801</c:v>
                </c:pt>
                <c:pt idx="69" formatCode="General">
                  <c:v>783</c:v>
                </c:pt>
                <c:pt idx="70" formatCode="General">
                  <c:v>724</c:v>
                </c:pt>
                <c:pt idx="71" formatCode="General">
                  <c:v>703</c:v>
                </c:pt>
                <c:pt idx="72" formatCode="General">
                  <c:v>646</c:v>
                </c:pt>
                <c:pt idx="73" formatCode="General">
                  <c:v>632</c:v>
                </c:pt>
                <c:pt idx="74" formatCode="General">
                  <c:v>619</c:v>
                </c:pt>
                <c:pt idx="75" formatCode="General">
                  <c:v>618</c:v>
                </c:pt>
                <c:pt idx="76" formatCode="General">
                  <c:v>609</c:v>
                </c:pt>
                <c:pt idx="77" formatCode="General">
                  <c:v>504</c:v>
                </c:pt>
                <c:pt idx="78" formatCode="General">
                  <c:v>499</c:v>
                </c:pt>
                <c:pt idx="79" formatCode="General">
                  <c:v>497</c:v>
                </c:pt>
                <c:pt idx="80" formatCode="General">
                  <c:v>443</c:v>
                </c:pt>
                <c:pt idx="81" formatCode="General">
                  <c:v>409</c:v>
                </c:pt>
                <c:pt idx="82" formatCode="General">
                  <c:v>284</c:v>
                </c:pt>
                <c:pt idx="83" formatCode="General">
                  <c:v>284</c:v>
                </c:pt>
                <c:pt idx="84" formatCode="General">
                  <c:v>280</c:v>
                </c:pt>
                <c:pt idx="85" formatCode="General">
                  <c:v>262</c:v>
                </c:pt>
                <c:pt idx="86" formatCode="General">
                  <c:v>261</c:v>
                </c:pt>
                <c:pt idx="87" formatCode="General">
                  <c:v>257</c:v>
                </c:pt>
                <c:pt idx="88" formatCode="General">
                  <c:v>224</c:v>
                </c:pt>
                <c:pt idx="89" formatCode="General">
                  <c:v>203</c:v>
                </c:pt>
                <c:pt idx="90" formatCode="General">
                  <c:v>186</c:v>
                </c:pt>
                <c:pt idx="91" formatCode="General">
                  <c:v>169</c:v>
                </c:pt>
                <c:pt idx="92" formatCode="General">
                  <c:v>155</c:v>
                </c:pt>
                <c:pt idx="93" formatCode="General">
                  <c:v>141</c:v>
                </c:pt>
                <c:pt idx="94" formatCode="General">
                  <c:v>134</c:v>
                </c:pt>
                <c:pt idx="95" formatCode="General">
                  <c:v>122</c:v>
                </c:pt>
                <c:pt idx="96" formatCode="General">
                  <c:v>112</c:v>
                </c:pt>
                <c:pt idx="97" formatCode="General">
                  <c:v>112</c:v>
                </c:pt>
                <c:pt idx="98" formatCode="General">
                  <c:v>109</c:v>
                </c:pt>
                <c:pt idx="99" formatCode="General">
                  <c:v>97</c:v>
                </c:pt>
                <c:pt idx="100" formatCode="General">
                  <c:v>95</c:v>
                </c:pt>
                <c:pt idx="101" formatCode="General">
                  <c:v>91</c:v>
                </c:pt>
                <c:pt idx="102" formatCode="General">
                  <c:v>90</c:v>
                </c:pt>
                <c:pt idx="103" formatCode="General">
                  <c:v>77</c:v>
                </c:pt>
                <c:pt idx="104" formatCode="General">
                  <c:v>74</c:v>
                </c:pt>
                <c:pt idx="105" formatCode="General">
                  <c:v>71</c:v>
                </c:pt>
                <c:pt idx="106" formatCode="General">
                  <c:v>70</c:v>
                </c:pt>
                <c:pt idx="107" formatCode="General">
                  <c:v>61</c:v>
                </c:pt>
                <c:pt idx="108" formatCode="General">
                  <c:v>58</c:v>
                </c:pt>
                <c:pt idx="109" formatCode="General">
                  <c:v>55</c:v>
                </c:pt>
                <c:pt idx="110" formatCode="General">
                  <c:v>51</c:v>
                </c:pt>
                <c:pt idx="111" formatCode="General">
                  <c:v>48</c:v>
                </c:pt>
                <c:pt idx="112" formatCode="General">
                  <c:v>47</c:v>
                </c:pt>
                <c:pt idx="113" formatCode="General">
                  <c:v>40</c:v>
                </c:pt>
                <c:pt idx="114" formatCode="General">
                  <c:v>39</c:v>
                </c:pt>
                <c:pt idx="115" formatCode="General">
                  <c:v>35</c:v>
                </c:pt>
                <c:pt idx="116" formatCode="General">
                  <c:v>30</c:v>
                </c:pt>
                <c:pt idx="117" formatCode="General">
                  <c:v>30</c:v>
                </c:pt>
                <c:pt idx="118" formatCode="General">
                  <c:v>19</c:v>
                </c:pt>
                <c:pt idx="119" formatCode="General">
                  <c:v>17</c:v>
                </c:pt>
                <c:pt idx="120" formatCode="General">
                  <c:v>15</c:v>
                </c:pt>
                <c:pt idx="121" formatCode="General">
                  <c:v>13</c:v>
                </c:pt>
                <c:pt idx="122" formatCode="General">
                  <c:v>12</c:v>
                </c:pt>
                <c:pt idx="123" formatCode="General">
                  <c:v>10</c:v>
                </c:pt>
                <c:pt idx="124" formatCode="General">
                  <c:v>7</c:v>
                </c:pt>
                <c:pt idx="125" formatCode="General">
                  <c:v>6</c:v>
                </c:pt>
                <c:pt idx="126" formatCode="General">
                  <c:v>4</c:v>
                </c:pt>
                <c:pt idx="127" formatCode="General">
                  <c:v>3</c:v>
                </c:pt>
                <c:pt idx="128" formatCode="General">
                  <c:v>1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1-4315-88D7-2E1BE3A5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3708560"/>
        <c:axId val="1294479856"/>
      </c:barChart>
      <c:catAx>
        <c:axId val="15337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94479856"/>
        <c:crosses val="autoZero"/>
        <c:auto val="1"/>
        <c:lblAlgn val="ctr"/>
        <c:lblOffset val="100"/>
        <c:noMultiLvlLbl val="0"/>
      </c:catAx>
      <c:valAx>
        <c:axId val="1294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3370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8</xdr:row>
      <xdr:rowOff>34925</xdr:rowOff>
    </xdr:from>
    <xdr:to>
      <xdr:col>11</xdr:col>
      <xdr:colOff>368300</xdr:colOff>
      <xdr:row>41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B5B01-F82F-164B-2A55-C8C5582C3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181</xdr:row>
      <xdr:rowOff>155575</xdr:rowOff>
    </xdr:from>
    <xdr:to>
      <xdr:col>13</xdr:col>
      <xdr:colOff>177800</xdr:colOff>
      <xdr:row>195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5028D9-8423-A234-B10B-5E09BB9FB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7F1E-7F7E-42C0-A9EE-C5D40889BAA4}">
  <sheetPr filterMode="1"/>
  <dimension ref="A1:H487"/>
  <sheetViews>
    <sheetView workbookViewId="0">
      <selection activeCell="G3" sqref="G3:H7"/>
    </sheetView>
  </sheetViews>
  <sheetFormatPr defaultRowHeight="14" x14ac:dyDescent="0.3"/>
  <cols>
    <col min="1" max="1" width="32.83203125" customWidth="1"/>
    <col min="2" max="2" width="22.4140625" customWidth="1"/>
    <col min="3" max="3" width="17.83203125" customWidth="1"/>
    <col min="4" max="4" width="17.1640625" customWidth="1"/>
    <col min="5" max="5" width="8.33203125" bestFit="1" customWidth="1"/>
    <col min="7" max="7" width="13.5" bestFit="1" customWidth="1"/>
    <col min="8" max="8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2" t="s">
        <v>445</v>
      </c>
    </row>
    <row r="2" spans="1:8" x14ac:dyDescent="0.3">
      <c r="A2" t="s">
        <v>4</v>
      </c>
      <c r="B2" t="s">
        <v>5</v>
      </c>
      <c r="C2" t="s">
        <v>6</v>
      </c>
      <c r="D2">
        <v>443</v>
      </c>
      <c r="E2" s="2">
        <f>YEAR(C2)</f>
        <v>2024</v>
      </c>
    </row>
    <row r="3" spans="1:8" x14ac:dyDescent="0.3">
      <c r="A3" t="s">
        <v>7</v>
      </c>
      <c r="B3" t="s">
        <v>8</v>
      </c>
      <c r="C3" t="s">
        <v>9</v>
      </c>
      <c r="D3">
        <v>141</v>
      </c>
      <c r="E3" s="2">
        <f t="shared" ref="E3:E66" si="0">YEAR(C3)</f>
        <v>2024</v>
      </c>
      <c r="G3" s="4" t="s">
        <v>442</v>
      </c>
      <c r="H3" s="4" t="s">
        <v>444</v>
      </c>
    </row>
    <row r="4" spans="1:8" x14ac:dyDescent="0.3">
      <c r="A4" t="s">
        <v>10</v>
      </c>
      <c r="B4" t="s">
        <v>11</v>
      </c>
      <c r="C4" t="s">
        <v>12</v>
      </c>
      <c r="D4">
        <v>112</v>
      </c>
      <c r="E4" s="2">
        <f t="shared" si="0"/>
        <v>2024</v>
      </c>
      <c r="G4" s="3">
        <v>2024</v>
      </c>
      <c r="H4" s="3">
        <f>COUNTIF(D2:E199, E2)</f>
        <v>121</v>
      </c>
    </row>
    <row r="5" spans="1:8" x14ac:dyDescent="0.3">
      <c r="A5" t="s">
        <v>13</v>
      </c>
      <c r="B5" t="s">
        <v>14</v>
      </c>
      <c r="C5" t="s">
        <v>15</v>
      </c>
      <c r="D5">
        <v>61</v>
      </c>
      <c r="E5" s="2">
        <f t="shared" si="0"/>
        <v>2024</v>
      </c>
      <c r="G5" s="3">
        <v>2023</v>
      </c>
      <c r="H5" s="3">
        <f>COUNTIF(D2:E199, E58)</f>
        <v>2</v>
      </c>
    </row>
    <row r="6" spans="1:8" x14ac:dyDescent="0.3">
      <c r="A6" t="s">
        <v>16</v>
      </c>
      <c r="B6" t="s">
        <v>17</v>
      </c>
      <c r="C6" t="s">
        <v>18</v>
      </c>
      <c r="D6">
        <v>112</v>
      </c>
      <c r="E6" s="2">
        <f t="shared" si="0"/>
        <v>2024</v>
      </c>
      <c r="G6" s="3">
        <v>2022</v>
      </c>
      <c r="H6" s="3">
        <f>COUNTIF(D2:E199, 2022)</f>
        <v>1</v>
      </c>
    </row>
    <row r="7" spans="1:8" x14ac:dyDescent="0.3">
      <c r="A7" t="s">
        <v>19</v>
      </c>
      <c r="B7" t="s">
        <v>20</v>
      </c>
      <c r="C7" t="s">
        <v>21</v>
      </c>
      <c r="D7">
        <v>74</v>
      </c>
      <c r="E7" s="2">
        <f t="shared" si="0"/>
        <v>2024</v>
      </c>
      <c r="G7" s="3" t="s">
        <v>443</v>
      </c>
      <c r="H7" s="3">
        <f>199-(H4+H5+H6)</f>
        <v>75</v>
      </c>
    </row>
    <row r="8" spans="1:8" x14ac:dyDescent="0.3">
      <c r="A8" t="s">
        <v>25</v>
      </c>
      <c r="B8" t="s">
        <v>26</v>
      </c>
      <c r="C8" t="s">
        <v>27</v>
      </c>
      <c r="D8">
        <v>4</v>
      </c>
      <c r="E8" s="2">
        <f t="shared" si="0"/>
        <v>2022</v>
      </c>
    </row>
    <row r="9" spans="1:8" x14ac:dyDescent="0.3">
      <c r="A9" t="s">
        <v>22</v>
      </c>
      <c r="B9" t="s">
        <v>23</v>
      </c>
      <c r="C9" t="s">
        <v>24</v>
      </c>
      <c r="D9">
        <v>12</v>
      </c>
      <c r="E9" s="2">
        <f t="shared" si="0"/>
        <v>2024</v>
      </c>
    </row>
    <row r="10" spans="1:8" x14ac:dyDescent="0.3">
      <c r="A10" t="s">
        <v>28</v>
      </c>
      <c r="B10" t="s">
        <v>29</v>
      </c>
      <c r="C10" t="s">
        <v>30</v>
      </c>
      <c r="D10">
        <v>284</v>
      </c>
      <c r="E10" s="2">
        <f t="shared" si="0"/>
        <v>2024</v>
      </c>
    </row>
    <row r="11" spans="1:8" x14ac:dyDescent="0.3">
      <c r="A11" t="s">
        <v>31</v>
      </c>
      <c r="B11" t="s">
        <v>32</v>
      </c>
      <c r="C11" t="s">
        <v>33</v>
      </c>
      <c r="D11">
        <v>257</v>
      </c>
      <c r="E11" s="2">
        <f t="shared" si="0"/>
        <v>2024</v>
      </c>
    </row>
    <row r="12" spans="1:8" x14ac:dyDescent="0.3">
      <c r="A12" t="s">
        <v>34</v>
      </c>
      <c r="B12" t="s">
        <v>35</v>
      </c>
      <c r="C12" t="s">
        <v>36</v>
      </c>
      <c r="D12" s="1">
        <v>1660</v>
      </c>
      <c r="E12" s="2">
        <f t="shared" si="0"/>
        <v>2024</v>
      </c>
    </row>
    <row r="13" spans="1:8" hidden="1" x14ac:dyDescent="0.3">
      <c r="A13" t="s">
        <v>37</v>
      </c>
      <c r="B13" t="s">
        <v>38</v>
      </c>
      <c r="C13" t="s">
        <v>39</v>
      </c>
      <c r="D13">
        <v>0</v>
      </c>
      <c r="E13" t="e">
        <f t="shared" si="0"/>
        <v>#VALUE!</v>
      </c>
    </row>
    <row r="14" spans="1:8" hidden="1" x14ac:dyDescent="0.3">
      <c r="A14" t="s">
        <v>40</v>
      </c>
      <c r="B14" t="s">
        <v>41</v>
      </c>
      <c r="C14" t="s">
        <v>39</v>
      </c>
      <c r="D14">
        <v>0</v>
      </c>
      <c r="E14" t="e">
        <f t="shared" si="0"/>
        <v>#VALUE!</v>
      </c>
    </row>
    <row r="15" spans="1:8" hidden="1" x14ac:dyDescent="0.3">
      <c r="A15" t="s">
        <v>42</v>
      </c>
      <c r="B15" t="s">
        <v>43</v>
      </c>
      <c r="C15" t="s">
        <v>39</v>
      </c>
      <c r="D15">
        <v>0</v>
      </c>
      <c r="E15" t="e">
        <f t="shared" si="0"/>
        <v>#VALUE!</v>
      </c>
    </row>
    <row r="16" spans="1:8" hidden="1" x14ac:dyDescent="0.3">
      <c r="A16" t="s">
        <v>44</v>
      </c>
      <c r="B16" t="s">
        <v>45</v>
      </c>
      <c r="C16" t="s">
        <v>39</v>
      </c>
      <c r="D16">
        <v>262</v>
      </c>
      <c r="E16" t="e">
        <f t="shared" si="0"/>
        <v>#VALUE!</v>
      </c>
    </row>
    <row r="17" spans="1:5" x14ac:dyDescent="0.3">
      <c r="A17" t="s">
        <v>46</v>
      </c>
      <c r="B17" t="s">
        <v>47</v>
      </c>
      <c r="C17" t="s">
        <v>48</v>
      </c>
      <c r="D17">
        <v>0</v>
      </c>
      <c r="E17" s="2">
        <f t="shared" si="0"/>
        <v>2024</v>
      </c>
    </row>
    <row r="18" spans="1:5" hidden="1" x14ac:dyDescent="0.3">
      <c r="A18" t="s">
        <v>49</v>
      </c>
      <c r="B18" t="s">
        <v>50</v>
      </c>
      <c r="C18" t="s">
        <v>39</v>
      </c>
      <c r="D18">
        <v>0</v>
      </c>
      <c r="E18" t="e">
        <f t="shared" si="0"/>
        <v>#VALUE!</v>
      </c>
    </row>
    <row r="19" spans="1:5" x14ac:dyDescent="0.3">
      <c r="A19" t="s">
        <v>51</v>
      </c>
      <c r="B19" t="s">
        <v>52</v>
      </c>
      <c r="C19" t="s">
        <v>21</v>
      </c>
      <c r="D19">
        <v>0</v>
      </c>
      <c r="E19" s="2">
        <f t="shared" si="0"/>
        <v>2024</v>
      </c>
    </row>
    <row r="20" spans="1:5" hidden="1" x14ac:dyDescent="0.3">
      <c r="A20" t="s">
        <v>53</v>
      </c>
      <c r="B20" t="s">
        <v>54</v>
      </c>
      <c r="C20" t="s">
        <v>39</v>
      </c>
      <c r="D20">
        <v>0</v>
      </c>
      <c r="E20" t="e">
        <f t="shared" si="0"/>
        <v>#VALUE!</v>
      </c>
    </row>
    <row r="21" spans="1:5" hidden="1" x14ac:dyDescent="0.3">
      <c r="A21" t="s">
        <v>55</v>
      </c>
      <c r="B21" t="s">
        <v>56</v>
      </c>
      <c r="C21" t="s">
        <v>39</v>
      </c>
      <c r="D21">
        <v>19</v>
      </c>
      <c r="E21" t="e">
        <f t="shared" si="0"/>
        <v>#VALUE!</v>
      </c>
    </row>
    <row r="22" spans="1:5" hidden="1" x14ac:dyDescent="0.3">
      <c r="A22" t="s">
        <v>57</v>
      </c>
      <c r="B22" t="s">
        <v>58</v>
      </c>
      <c r="C22" t="s">
        <v>39</v>
      </c>
      <c r="D22">
        <v>30</v>
      </c>
      <c r="E22" t="e">
        <f t="shared" si="0"/>
        <v>#VALUE!</v>
      </c>
    </row>
    <row r="23" spans="1:5" x14ac:dyDescent="0.3">
      <c r="A23" t="s">
        <v>59</v>
      </c>
      <c r="B23" t="s">
        <v>60</v>
      </c>
      <c r="C23" t="s">
        <v>61</v>
      </c>
      <c r="D23">
        <v>0</v>
      </c>
      <c r="E23" s="2">
        <f t="shared" si="0"/>
        <v>2024</v>
      </c>
    </row>
    <row r="24" spans="1:5" hidden="1" x14ac:dyDescent="0.3">
      <c r="A24" t="s">
        <v>62</v>
      </c>
      <c r="B24" t="s">
        <v>63</v>
      </c>
      <c r="C24" t="s">
        <v>39</v>
      </c>
      <c r="D24">
        <v>724</v>
      </c>
      <c r="E24" t="e">
        <f t="shared" si="0"/>
        <v>#VALUE!</v>
      </c>
    </row>
    <row r="25" spans="1:5" hidden="1" x14ac:dyDescent="0.3">
      <c r="A25" t="s">
        <v>64</v>
      </c>
      <c r="B25" t="s">
        <v>65</v>
      </c>
      <c r="C25" t="s">
        <v>39</v>
      </c>
      <c r="D25">
        <v>0</v>
      </c>
      <c r="E25" t="e">
        <f t="shared" si="0"/>
        <v>#VALUE!</v>
      </c>
    </row>
    <row r="26" spans="1:5" hidden="1" x14ac:dyDescent="0.3">
      <c r="A26" t="s">
        <v>66</v>
      </c>
      <c r="B26" t="s">
        <v>67</v>
      </c>
      <c r="C26" t="s">
        <v>39</v>
      </c>
      <c r="D26">
        <v>783</v>
      </c>
      <c r="E26" t="e">
        <f t="shared" si="0"/>
        <v>#VALUE!</v>
      </c>
    </row>
    <row r="27" spans="1:5" hidden="1" x14ac:dyDescent="0.3">
      <c r="A27" t="s">
        <v>68</v>
      </c>
      <c r="B27" t="s">
        <v>69</v>
      </c>
      <c r="C27" t="s">
        <v>39</v>
      </c>
      <c r="D27">
        <v>280</v>
      </c>
      <c r="E27" t="e">
        <f t="shared" si="0"/>
        <v>#VALUE!</v>
      </c>
    </row>
    <row r="28" spans="1:5" hidden="1" x14ac:dyDescent="0.3">
      <c r="A28" t="s">
        <v>70</v>
      </c>
      <c r="B28" t="s">
        <v>71</v>
      </c>
      <c r="C28" t="s">
        <v>39</v>
      </c>
      <c r="D28">
        <v>0</v>
      </c>
      <c r="E28" t="e">
        <f t="shared" si="0"/>
        <v>#VALUE!</v>
      </c>
    </row>
    <row r="29" spans="1:5" hidden="1" x14ac:dyDescent="0.3">
      <c r="A29" t="s">
        <v>72</v>
      </c>
      <c r="B29" t="s">
        <v>73</v>
      </c>
      <c r="C29" t="s">
        <v>39</v>
      </c>
      <c r="D29">
        <v>71</v>
      </c>
      <c r="E29" t="e">
        <f t="shared" si="0"/>
        <v>#VALUE!</v>
      </c>
    </row>
    <row r="30" spans="1:5" hidden="1" x14ac:dyDescent="0.3">
      <c r="A30" t="s">
        <v>74</v>
      </c>
      <c r="B30" t="s">
        <v>75</v>
      </c>
      <c r="C30" t="s">
        <v>39</v>
      </c>
      <c r="D30">
        <v>0</v>
      </c>
      <c r="E30" t="e">
        <f t="shared" si="0"/>
        <v>#VALUE!</v>
      </c>
    </row>
    <row r="31" spans="1:5" x14ac:dyDescent="0.3">
      <c r="A31" t="s">
        <v>76</v>
      </c>
      <c r="B31" t="s">
        <v>77</v>
      </c>
      <c r="C31" t="s">
        <v>30</v>
      </c>
      <c r="D31">
        <v>0</v>
      </c>
      <c r="E31" s="2">
        <f t="shared" si="0"/>
        <v>2024</v>
      </c>
    </row>
    <row r="32" spans="1:5" x14ac:dyDescent="0.3">
      <c r="A32" t="s">
        <v>78</v>
      </c>
      <c r="B32" t="s">
        <v>79</v>
      </c>
      <c r="C32" t="s">
        <v>21</v>
      </c>
      <c r="D32">
        <v>0</v>
      </c>
      <c r="E32" s="2">
        <f t="shared" si="0"/>
        <v>2024</v>
      </c>
    </row>
    <row r="33" spans="1:5" x14ac:dyDescent="0.3">
      <c r="A33" t="s">
        <v>80</v>
      </c>
      <c r="B33" t="s">
        <v>81</v>
      </c>
      <c r="C33" t="s">
        <v>82</v>
      </c>
      <c r="D33">
        <v>91</v>
      </c>
      <c r="E33" s="2">
        <f t="shared" si="0"/>
        <v>2024</v>
      </c>
    </row>
    <row r="34" spans="1:5" x14ac:dyDescent="0.3">
      <c r="A34" t="s">
        <v>83</v>
      </c>
      <c r="B34" t="s">
        <v>84</v>
      </c>
      <c r="C34" t="s">
        <v>85</v>
      </c>
      <c r="D34">
        <v>7</v>
      </c>
      <c r="E34" s="2">
        <f t="shared" si="0"/>
        <v>2024</v>
      </c>
    </row>
    <row r="35" spans="1:5" hidden="1" x14ac:dyDescent="0.3">
      <c r="A35" t="s">
        <v>86</v>
      </c>
      <c r="B35" t="s">
        <v>87</v>
      </c>
      <c r="C35" t="s">
        <v>39</v>
      </c>
      <c r="D35">
        <v>0</v>
      </c>
      <c r="E35" t="e">
        <f t="shared" si="0"/>
        <v>#VALUE!</v>
      </c>
    </row>
    <row r="36" spans="1:5" hidden="1" x14ac:dyDescent="0.3">
      <c r="A36" t="s">
        <v>88</v>
      </c>
      <c r="B36" t="s">
        <v>89</v>
      </c>
      <c r="C36" t="s">
        <v>39</v>
      </c>
      <c r="D36" s="1">
        <v>1457</v>
      </c>
      <c r="E36" t="e">
        <f t="shared" si="0"/>
        <v>#VALUE!</v>
      </c>
    </row>
    <row r="37" spans="1:5" x14ac:dyDescent="0.3">
      <c r="A37" t="s">
        <v>90</v>
      </c>
      <c r="B37" t="s">
        <v>91</v>
      </c>
      <c r="C37" t="s">
        <v>92</v>
      </c>
      <c r="D37">
        <v>0</v>
      </c>
      <c r="E37" s="2">
        <f t="shared" si="0"/>
        <v>2024</v>
      </c>
    </row>
    <row r="38" spans="1:5" x14ac:dyDescent="0.3">
      <c r="A38" t="s">
        <v>93</v>
      </c>
      <c r="B38" t="s">
        <v>94</v>
      </c>
      <c r="C38" t="s">
        <v>95</v>
      </c>
      <c r="D38">
        <v>261</v>
      </c>
      <c r="E38" s="2">
        <f t="shared" si="0"/>
        <v>2024</v>
      </c>
    </row>
    <row r="39" spans="1:5" x14ac:dyDescent="0.3">
      <c r="A39" t="s">
        <v>96</v>
      </c>
      <c r="B39" t="s">
        <v>97</v>
      </c>
      <c r="C39" t="s">
        <v>98</v>
      </c>
      <c r="D39">
        <v>77</v>
      </c>
      <c r="E39" s="2">
        <f t="shared" si="0"/>
        <v>2024</v>
      </c>
    </row>
    <row r="40" spans="1:5" hidden="1" x14ac:dyDescent="0.3">
      <c r="A40" t="s">
        <v>99</v>
      </c>
      <c r="B40" t="s">
        <v>100</v>
      </c>
      <c r="C40" t="s">
        <v>39</v>
      </c>
      <c r="D40">
        <v>0</v>
      </c>
      <c r="E40" t="e">
        <f t="shared" si="0"/>
        <v>#VALUE!</v>
      </c>
    </row>
    <row r="41" spans="1:5" x14ac:dyDescent="0.3">
      <c r="A41" t="s">
        <v>101</v>
      </c>
      <c r="B41" t="s">
        <v>102</v>
      </c>
      <c r="C41" t="s">
        <v>103</v>
      </c>
      <c r="D41">
        <v>646</v>
      </c>
      <c r="E41" s="2">
        <f t="shared" si="0"/>
        <v>2024</v>
      </c>
    </row>
    <row r="42" spans="1:5" x14ac:dyDescent="0.3">
      <c r="A42" t="s">
        <v>104</v>
      </c>
      <c r="B42" t="s">
        <v>105</v>
      </c>
      <c r="C42" t="s">
        <v>92</v>
      </c>
      <c r="D42">
        <v>924</v>
      </c>
      <c r="E42" s="2">
        <f t="shared" si="0"/>
        <v>2024</v>
      </c>
    </row>
    <row r="43" spans="1:5" x14ac:dyDescent="0.3">
      <c r="A43" t="s">
        <v>106</v>
      </c>
      <c r="B43" t="s">
        <v>107</v>
      </c>
      <c r="C43" t="s">
        <v>98</v>
      </c>
      <c r="D43">
        <v>122</v>
      </c>
      <c r="E43" s="2">
        <f t="shared" si="0"/>
        <v>2024</v>
      </c>
    </row>
    <row r="44" spans="1:5" x14ac:dyDescent="0.3">
      <c r="A44" t="s">
        <v>108</v>
      </c>
      <c r="B44" t="s">
        <v>109</v>
      </c>
      <c r="C44" t="s">
        <v>110</v>
      </c>
      <c r="D44">
        <v>13</v>
      </c>
      <c r="E44" s="2">
        <f t="shared" si="0"/>
        <v>2024</v>
      </c>
    </row>
    <row r="45" spans="1:5" hidden="1" x14ac:dyDescent="0.3">
      <c r="A45" t="s">
        <v>111</v>
      </c>
      <c r="B45" t="s">
        <v>112</v>
      </c>
      <c r="C45" t="s">
        <v>39</v>
      </c>
      <c r="D45">
        <v>0</v>
      </c>
      <c r="E45" t="e">
        <f t="shared" si="0"/>
        <v>#VALUE!</v>
      </c>
    </row>
    <row r="46" spans="1:5" x14ac:dyDescent="0.3">
      <c r="A46" t="s">
        <v>113</v>
      </c>
      <c r="B46" t="s">
        <v>114</v>
      </c>
      <c r="C46" t="s">
        <v>115</v>
      </c>
      <c r="D46">
        <v>0</v>
      </c>
      <c r="E46" s="2">
        <f t="shared" si="0"/>
        <v>2024</v>
      </c>
    </row>
    <row r="47" spans="1:5" hidden="1" x14ac:dyDescent="0.3">
      <c r="A47" t="s">
        <v>116</v>
      </c>
      <c r="B47" t="s">
        <v>117</v>
      </c>
      <c r="C47" t="s">
        <v>39</v>
      </c>
      <c r="D47">
        <v>0</v>
      </c>
      <c r="E47" t="e">
        <f t="shared" si="0"/>
        <v>#VALUE!</v>
      </c>
    </row>
    <row r="48" spans="1:5" x14ac:dyDescent="0.3">
      <c r="A48" t="s">
        <v>118</v>
      </c>
      <c r="B48" t="s">
        <v>119</v>
      </c>
      <c r="C48" t="s">
        <v>120</v>
      </c>
      <c r="D48">
        <v>97</v>
      </c>
      <c r="E48" s="2">
        <f t="shared" si="0"/>
        <v>2024</v>
      </c>
    </row>
    <row r="49" spans="1:5" hidden="1" x14ac:dyDescent="0.3">
      <c r="A49" t="s">
        <v>121</v>
      </c>
      <c r="B49" t="s">
        <v>122</v>
      </c>
      <c r="C49" t="s">
        <v>39</v>
      </c>
      <c r="D49">
        <v>0</v>
      </c>
      <c r="E49" t="e">
        <f t="shared" si="0"/>
        <v>#VALUE!</v>
      </c>
    </row>
    <row r="50" spans="1:5" x14ac:dyDescent="0.3">
      <c r="A50" t="s">
        <v>123</v>
      </c>
      <c r="B50" t="s">
        <v>124</v>
      </c>
      <c r="C50" t="s">
        <v>92</v>
      </c>
      <c r="D50">
        <v>0</v>
      </c>
      <c r="E50" s="2">
        <f t="shared" si="0"/>
        <v>2024</v>
      </c>
    </row>
    <row r="51" spans="1:5" x14ac:dyDescent="0.3">
      <c r="A51" t="s">
        <v>125</v>
      </c>
      <c r="B51" t="s">
        <v>126</v>
      </c>
      <c r="C51" t="s">
        <v>103</v>
      </c>
      <c r="D51">
        <v>186</v>
      </c>
      <c r="E51" s="2">
        <f t="shared" si="0"/>
        <v>2024</v>
      </c>
    </row>
    <row r="52" spans="1:5" hidden="1" x14ac:dyDescent="0.3">
      <c r="A52" t="s">
        <v>127</v>
      </c>
      <c r="B52" t="s">
        <v>128</v>
      </c>
      <c r="C52" t="s">
        <v>39</v>
      </c>
      <c r="D52">
        <v>0</v>
      </c>
      <c r="E52" t="e">
        <f t="shared" si="0"/>
        <v>#VALUE!</v>
      </c>
    </row>
    <row r="53" spans="1:5" x14ac:dyDescent="0.3">
      <c r="A53" t="s">
        <v>129</v>
      </c>
      <c r="B53" t="s">
        <v>130</v>
      </c>
      <c r="C53" t="s">
        <v>131</v>
      </c>
      <c r="D53">
        <v>15</v>
      </c>
      <c r="E53" s="2">
        <f t="shared" si="0"/>
        <v>2024</v>
      </c>
    </row>
    <row r="54" spans="1:5" x14ac:dyDescent="0.3">
      <c r="A54" t="s">
        <v>132</v>
      </c>
      <c r="B54" t="s">
        <v>133</v>
      </c>
      <c r="C54" t="s">
        <v>85</v>
      </c>
      <c r="D54">
        <v>1</v>
      </c>
      <c r="E54" s="2">
        <f t="shared" si="0"/>
        <v>2024</v>
      </c>
    </row>
    <row r="55" spans="1:5" hidden="1" x14ac:dyDescent="0.3">
      <c r="A55" t="s">
        <v>134</v>
      </c>
      <c r="B55" t="s">
        <v>135</v>
      </c>
      <c r="C55" t="s">
        <v>39</v>
      </c>
      <c r="D55">
        <v>0</v>
      </c>
      <c r="E55" t="e">
        <f t="shared" si="0"/>
        <v>#VALUE!</v>
      </c>
    </row>
    <row r="56" spans="1:5" hidden="1" x14ac:dyDescent="0.3">
      <c r="A56" t="s">
        <v>136</v>
      </c>
      <c r="B56" t="s">
        <v>137</v>
      </c>
      <c r="C56" t="s">
        <v>39</v>
      </c>
      <c r="D56">
        <v>0</v>
      </c>
      <c r="E56" t="e">
        <f t="shared" si="0"/>
        <v>#VALUE!</v>
      </c>
    </row>
    <row r="57" spans="1:5" hidden="1" x14ac:dyDescent="0.3">
      <c r="A57" t="s">
        <v>138</v>
      </c>
      <c r="B57" t="s">
        <v>139</v>
      </c>
      <c r="C57" t="s">
        <v>39</v>
      </c>
      <c r="D57">
        <v>0</v>
      </c>
      <c r="E57" t="e">
        <f t="shared" si="0"/>
        <v>#VALUE!</v>
      </c>
    </row>
    <row r="58" spans="1:5" x14ac:dyDescent="0.3">
      <c r="A58" t="s">
        <v>140</v>
      </c>
      <c r="B58" t="s">
        <v>141</v>
      </c>
      <c r="C58" t="s">
        <v>142</v>
      </c>
      <c r="D58">
        <v>3</v>
      </c>
      <c r="E58" s="2">
        <f t="shared" si="0"/>
        <v>2023</v>
      </c>
    </row>
    <row r="59" spans="1:5" hidden="1" x14ac:dyDescent="0.3">
      <c r="A59" t="s">
        <v>143</v>
      </c>
      <c r="B59" t="s">
        <v>144</v>
      </c>
      <c r="C59" t="s">
        <v>39</v>
      </c>
      <c r="D59">
        <v>955</v>
      </c>
      <c r="E59" t="e">
        <f t="shared" si="0"/>
        <v>#VALUE!</v>
      </c>
    </row>
    <row r="60" spans="1:5" x14ac:dyDescent="0.3">
      <c r="A60" t="s">
        <v>145</v>
      </c>
      <c r="B60" t="s">
        <v>146</v>
      </c>
      <c r="C60" t="s">
        <v>92</v>
      </c>
      <c r="D60">
        <v>0</v>
      </c>
      <c r="E60" s="2">
        <f t="shared" si="0"/>
        <v>2024</v>
      </c>
    </row>
    <row r="61" spans="1:5" x14ac:dyDescent="0.3">
      <c r="A61" t="s">
        <v>147</v>
      </c>
      <c r="B61" t="s">
        <v>148</v>
      </c>
      <c r="C61" t="s">
        <v>92</v>
      </c>
      <c r="D61" s="1">
        <v>1027</v>
      </c>
      <c r="E61" s="2">
        <f t="shared" si="0"/>
        <v>2024</v>
      </c>
    </row>
    <row r="62" spans="1:5" hidden="1" x14ac:dyDescent="0.3">
      <c r="A62" t="s">
        <v>149</v>
      </c>
      <c r="B62" t="s">
        <v>150</v>
      </c>
      <c r="C62" t="s">
        <v>39</v>
      </c>
      <c r="D62">
        <v>0</v>
      </c>
      <c r="E62" t="e">
        <f t="shared" si="0"/>
        <v>#VALUE!</v>
      </c>
    </row>
    <row r="63" spans="1:5" x14ac:dyDescent="0.3">
      <c r="A63" t="s">
        <v>151</v>
      </c>
      <c r="B63" t="s">
        <v>152</v>
      </c>
      <c r="C63" t="s">
        <v>153</v>
      </c>
      <c r="D63">
        <v>0</v>
      </c>
      <c r="E63" s="2">
        <f t="shared" si="0"/>
        <v>2024</v>
      </c>
    </row>
    <row r="64" spans="1:5" x14ac:dyDescent="0.3">
      <c r="A64" t="s">
        <v>154</v>
      </c>
      <c r="B64" t="s">
        <v>155</v>
      </c>
      <c r="C64" t="s">
        <v>156</v>
      </c>
      <c r="D64">
        <v>58</v>
      </c>
      <c r="E64" s="2">
        <f t="shared" si="0"/>
        <v>2024</v>
      </c>
    </row>
    <row r="65" spans="1:5" x14ac:dyDescent="0.3">
      <c r="A65" t="s">
        <v>157</v>
      </c>
      <c r="B65" t="s">
        <v>158</v>
      </c>
      <c r="C65" t="s">
        <v>159</v>
      </c>
      <c r="D65" s="1">
        <v>9853</v>
      </c>
      <c r="E65" s="2">
        <f t="shared" si="0"/>
        <v>2024</v>
      </c>
    </row>
    <row r="66" spans="1:5" hidden="1" x14ac:dyDescent="0.3">
      <c r="A66" t="s">
        <v>160</v>
      </c>
      <c r="B66" t="s">
        <v>161</v>
      </c>
      <c r="C66" t="s">
        <v>39</v>
      </c>
      <c r="D66">
        <v>48</v>
      </c>
      <c r="E66" t="e">
        <f t="shared" si="0"/>
        <v>#VALUE!</v>
      </c>
    </row>
    <row r="67" spans="1:5" hidden="1" x14ac:dyDescent="0.3">
      <c r="A67" t="s">
        <v>162</v>
      </c>
      <c r="B67" t="s">
        <v>163</v>
      </c>
      <c r="C67" t="s">
        <v>39</v>
      </c>
      <c r="D67">
        <v>10</v>
      </c>
      <c r="E67" t="e">
        <f t="shared" ref="E67:E130" si="1">YEAR(C67)</f>
        <v>#VALUE!</v>
      </c>
    </row>
    <row r="68" spans="1:5" x14ac:dyDescent="0.3">
      <c r="A68" t="s">
        <v>164</v>
      </c>
      <c r="B68" t="s">
        <v>165</v>
      </c>
      <c r="C68" t="s">
        <v>166</v>
      </c>
      <c r="D68">
        <v>40</v>
      </c>
      <c r="E68" s="2">
        <f t="shared" si="1"/>
        <v>2024</v>
      </c>
    </row>
    <row r="69" spans="1:5" hidden="1" x14ac:dyDescent="0.3">
      <c r="A69" t="s">
        <v>167</v>
      </c>
      <c r="B69" t="s">
        <v>168</v>
      </c>
      <c r="C69" t="s">
        <v>39</v>
      </c>
      <c r="D69">
        <v>0</v>
      </c>
      <c r="E69" t="e">
        <f t="shared" si="1"/>
        <v>#VALUE!</v>
      </c>
    </row>
    <row r="70" spans="1:5" x14ac:dyDescent="0.3">
      <c r="A70" t="s">
        <v>169</v>
      </c>
      <c r="B70" t="s">
        <v>170</v>
      </c>
      <c r="C70" t="s">
        <v>30</v>
      </c>
      <c r="D70">
        <v>0</v>
      </c>
      <c r="E70" s="2">
        <f t="shared" si="1"/>
        <v>2024</v>
      </c>
    </row>
    <row r="71" spans="1:5" x14ac:dyDescent="0.3">
      <c r="A71" t="s">
        <v>171</v>
      </c>
      <c r="B71" t="s">
        <v>172</v>
      </c>
      <c r="C71" t="s">
        <v>173</v>
      </c>
      <c r="D71">
        <v>51</v>
      </c>
      <c r="E71" s="2">
        <f t="shared" si="1"/>
        <v>2024</v>
      </c>
    </row>
    <row r="72" spans="1:5" x14ac:dyDescent="0.3">
      <c r="A72" t="s">
        <v>174</v>
      </c>
      <c r="B72" t="s">
        <v>175</v>
      </c>
      <c r="C72" t="s">
        <v>176</v>
      </c>
      <c r="D72">
        <v>30</v>
      </c>
      <c r="E72" s="2">
        <f t="shared" si="1"/>
        <v>2024</v>
      </c>
    </row>
    <row r="73" spans="1:5" hidden="1" x14ac:dyDescent="0.3">
      <c r="A73" t="s">
        <v>177</v>
      </c>
      <c r="B73" t="s">
        <v>178</v>
      </c>
      <c r="C73" t="s">
        <v>39</v>
      </c>
      <c r="D73">
        <v>0</v>
      </c>
      <c r="E73" t="e">
        <f t="shared" si="1"/>
        <v>#VALUE!</v>
      </c>
    </row>
    <row r="74" spans="1:5" x14ac:dyDescent="0.3">
      <c r="A74" t="s">
        <v>179</v>
      </c>
      <c r="B74" t="s">
        <v>180</v>
      </c>
      <c r="C74" t="s">
        <v>181</v>
      </c>
      <c r="D74">
        <v>109</v>
      </c>
      <c r="E74" s="2">
        <f t="shared" si="1"/>
        <v>2024</v>
      </c>
    </row>
    <row r="75" spans="1:5" x14ac:dyDescent="0.3">
      <c r="A75" t="s">
        <v>182</v>
      </c>
      <c r="B75" t="s">
        <v>183</v>
      </c>
      <c r="C75" t="s">
        <v>184</v>
      </c>
      <c r="D75">
        <v>35</v>
      </c>
      <c r="E75" s="2">
        <f t="shared" si="1"/>
        <v>2024</v>
      </c>
    </row>
    <row r="76" spans="1:5" x14ac:dyDescent="0.3">
      <c r="A76" t="s">
        <v>185</v>
      </c>
      <c r="B76" t="s">
        <v>186</v>
      </c>
      <c r="C76" t="s">
        <v>187</v>
      </c>
      <c r="D76">
        <v>0</v>
      </c>
      <c r="E76" s="2">
        <f t="shared" si="1"/>
        <v>2024</v>
      </c>
    </row>
    <row r="77" spans="1:5" x14ac:dyDescent="0.3">
      <c r="A77" t="s">
        <v>188</v>
      </c>
      <c r="B77" t="s">
        <v>189</v>
      </c>
      <c r="C77" t="s">
        <v>190</v>
      </c>
      <c r="D77">
        <v>6</v>
      </c>
      <c r="E77" s="2">
        <f t="shared" si="1"/>
        <v>2023</v>
      </c>
    </row>
    <row r="78" spans="1:5" hidden="1" x14ac:dyDescent="0.3">
      <c r="A78" t="s">
        <v>191</v>
      </c>
      <c r="B78" t="s">
        <v>192</v>
      </c>
      <c r="C78" t="s">
        <v>39</v>
      </c>
      <c r="D78">
        <v>0</v>
      </c>
      <c r="E78" t="e">
        <f t="shared" si="1"/>
        <v>#VALUE!</v>
      </c>
    </row>
    <row r="79" spans="1:5" hidden="1" x14ac:dyDescent="0.3">
      <c r="A79" t="s">
        <v>193</v>
      </c>
      <c r="B79" t="s">
        <v>194</v>
      </c>
      <c r="C79" t="s">
        <v>39</v>
      </c>
      <c r="D79" s="1">
        <v>50666</v>
      </c>
      <c r="E79" t="e">
        <f t="shared" si="1"/>
        <v>#VALUE!</v>
      </c>
    </row>
    <row r="80" spans="1:5" x14ac:dyDescent="0.3">
      <c r="A80" t="s">
        <v>195</v>
      </c>
      <c r="B80" t="s">
        <v>196</v>
      </c>
      <c r="C80" t="s">
        <v>12</v>
      </c>
      <c r="D80">
        <v>169</v>
      </c>
      <c r="E80" s="2">
        <f t="shared" si="1"/>
        <v>2024</v>
      </c>
    </row>
    <row r="81" spans="1:5" hidden="1" x14ac:dyDescent="0.3">
      <c r="A81" t="s">
        <v>197</v>
      </c>
      <c r="B81" t="s">
        <v>198</v>
      </c>
      <c r="C81" t="s">
        <v>39</v>
      </c>
      <c r="D81">
        <v>17</v>
      </c>
      <c r="E81" t="e">
        <f t="shared" si="1"/>
        <v>#VALUE!</v>
      </c>
    </row>
    <row r="82" spans="1:5" x14ac:dyDescent="0.3">
      <c r="A82" t="s">
        <v>199</v>
      </c>
      <c r="B82" t="s">
        <v>200</v>
      </c>
      <c r="C82" t="s">
        <v>33</v>
      </c>
      <c r="D82">
        <v>0</v>
      </c>
      <c r="E82" s="2">
        <f t="shared" si="1"/>
        <v>2024</v>
      </c>
    </row>
    <row r="83" spans="1:5" hidden="1" x14ac:dyDescent="0.3">
      <c r="A83" t="s">
        <v>201</v>
      </c>
      <c r="B83" t="s">
        <v>202</v>
      </c>
      <c r="C83" t="s">
        <v>39</v>
      </c>
      <c r="D83">
        <v>703</v>
      </c>
      <c r="E83" t="e">
        <f t="shared" si="1"/>
        <v>#VALUE!</v>
      </c>
    </row>
    <row r="84" spans="1:5" hidden="1" x14ac:dyDescent="0.3">
      <c r="A84" t="s">
        <v>203</v>
      </c>
      <c r="B84" t="s">
        <v>204</v>
      </c>
      <c r="C84" t="s">
        <v>39</v>
      </c>
      <c r="D84">
        <v>0</v>
      </c>
      <c r="E84" t="e">
        <f t="shared" si="1"/>
        <v>#VALUE!</v>
      </c>
    </row>
    <row r="85" spans="1:5" x14ac:dyDescent="0.3">
      <c r="A85" t="s">
        <v>205</v>
      </c>
      <c r="B85" t="s">
        <v>206</v>
      </c>
      <c r="C85" t="s">
        <v>153</v>
      </c>
      <c r="D85" s="1">
        <v>1105</v>
      </c>
      <c r="E85" s="2">
        <f t="shared" si="1"/>
        <v>2024</v>
      </c>
    </row>
    <row r="86" spans="1:5" x14ac:dyDescent="0.3">
      <c r="A86" t="s">
        <v>207</v>
      </c>
      <c r="B86" t="s">
        <v>208</v>
      </c>
      <c r="C86" t="s">
        <v>173</v>
      </c>
      <c r="D86">
        <v>134</v>
      </c>
      <c r="E86" s="2">
        <f t="shared" si="1"/>
        <v>2024</v>
      </c>
    </row>
    <row r="87" spans="1:5" x14ac:dyDescent="0.3">
      <c r="A87" t="s">
        <v>209</v>
      </c>
      <c r="B87" t="s">
        <v>210</v>
      </c>
      <c r="C87" t="s">
        <v>159</v>
      </c>
      <c r="D87" s="1">
        <v>5252</v>
      </c>
      <c r="E87" s="2">
        <f t="shared" si="1"/>
        <v>2024</v>
      </c>
    </row>
    <row r="88" spans="1:5" x14ac:dyDescent="0.3">
      <c r="A88" t="s">
        <v>211</v>
      </c>
      <c r="B88" t="s">
        <v>212</v>
      </c>
      <c r="C88" t="s">
        <v>92</v>
      </c>
      <c r="D88" s="1">
        <v>3614</v>
      </c>
      <c r="E88" s="2">
        <f t="shared" si="1"/>
        <v>2024</v>
      </c>
    </row>
    <row r="89" spans="1:5" x14ac:dyDescent="0.3">
      <c r="A89" t="s">
        <v>213</v>
      </c>
      <c r="B89" t="s">
        <v>214</v>
      </c>
      <c r="C89" t="s">
        <v>92</v>
      </c>
      <c r="D89" s="1">
        <v>89127</v>
      </c>
      <c r="E89" s="2">
        <f t="shared" si="1"/>
        <v>2024</v>
      </c>
    </row>
    <row r="90" spans="1:5" x14ac:dyDescent="0.3">
      <c r="A90" t="s">
        <v>215</v>
      </c>
      <c r="B90" t="s">
        <v>216</v>
      </c>
      <c r="C90" t="s">
        <v>92</v>
      </c>
      <c r="D90" s="1">
        <v>12093</v>
      </c>
      <c r="E90" s="2">
        <f t="shared" si="1"/>
        <v>2024</v>
      </c>
    </row>
    <row r="91" spans="1:5" hidden="1" x14ac:dyDescent="0.3">
      <c r="A91" t="s">
        <v>217</v>
      </c>
      <c r="B91" t="s">
        <v>218</v>
      </c>
      <c r="C91" t="s">
        <v>39</v>
      </c>
      <c r="D91">
        <v>0</v>
      </c>
      <c r="E91" t="e">
        <f t="shared" si="1"/>
        <v>#VALUE!</v>
      </c>
    </row>
    <row r="92" spans="1:5" hidden="1" x14ac:dyDescent="0.3">
      <c r="A92" t="s">
        <v>219</v>
      </c>
      <c r="B92" t="s">
        <v>220</v>
      </c>
      <c r="C92" t="s">
        <v>39</v>
      </c>
      <c r="D92">
        <v>0</v>
      </c>
      <c r="E92" t="e">
        <f t="shared" si="1"/>
        <v>#VALUE!</v>
      </c>
    </row>
    <row r="93" spans="1:5" x14ac:dyDescent="0.3">
      <c r="A93" t="s">
        <v>221</v>
      </c>
      <c r="B93" t="s">
        <v>222</v>
      </c>
      <c r="C93" t="s">
        <v>92</v>
      </c>
      <c r="D93" s="1">
        <v>25886</v>
      </c>
      <c r="E93" s="2">
        <f t="shared" si="1"/>
        <v>2024</v>
      </c>
    </row>
    <row r="94" spans="1:5" x14ac:dyDescent="0.3">
      <c r="A94" t="s">
        <v>223</v>
      </c>
      <c r="B94" t="s">
        <v>224</v>
      </c>
      <c r="C94" t="s">
        <v>92</v>
      </c>
      <c r="D94" s="1">
        <v>1351</v>
      </c>
      <c r="E94" s="2">
        <f t="shared" si="1"/>
        <v>2024</v>
      </c>
    </row>
    <row r="95" spans="1:5" x14ac:dyDescent="0.3">
      <c r="A95" t="s">
        <v>225</v>
      </c>
      <c r="B95" t="s">
        <v>226</v>
      </c>
      <c r="C95" t="s">
        <v>92</v>
      </c>
      <c r="D95" s="1">
        <v>72233</v>
      </c>
      <c r="E95" s="2">
        <f t="shared" si="1"/>
        <v>2024</v>
      </c>
    </row>
    <row r="96" spans="1:5" hidden="1" x14ac:dyDescent="0.3">
      <c r="A96" t="s">
        <v>227</v>
      </c>
      <c r="B96" t="s">
        <v>228</v>
      </c>
      <c r="C96" t="s">
        <v>39</v>
      </c>
      <c r="D96">
        <v>0</v>
      </c>
      <c r="E96" t="e">
        <f t="shared" si="1"/>
        <v>#VALUE!</v>
      </c>
    </row>
    <row r="97" spans="1:5" x14ac:dyDescent="0.3">
      <c r="A97" t="s">
        <v>229</v>
      </c>
      <c r="B97" t="s">
        <v>230</v>
      </c>
      <c r="C97" t="s">
        <v>231</v>
      </c>
      <c r="D97">
        <v>95</v>
      </c>
      <c r="E97" s="2">
        <f t="shared" si="1"/>
        <v>2024</v>
      </c>
    </row>
    <row r="98" spans="1:5" hidden="1" x14ac:dyDescent="0.3">
      <c r="A98" t="s">
        <v>232</v>
      </c>
      <c r="B98" t="s">
        <v>233</v>
      </c>
      <c r="C98" t="s">
        <v>39</v>
      </c>
      <c r="D98" s="1">
        <v>1363</v>
      </c>
      <c r="E98" t="e">
        <f t="shared" si="1"/>
        <v>#VALUE!</v>
      </c>
    </row>
    <row r="99" spans="1:5" hidden="1" x14ac:dyDescent="0.3">
      <c r="A99" t="s">
        <v>234</v>
      </c>
      <c r="B99" t="s">
        <v>235</v>
      </c>
      <c r="C99" t="s">
        <v>39</v>
      </c>
      <c r="D99">
        <v>0</v>
      </c>
      <c r="E99" t="e">
        <f t="shared" si="1"/>
        <v>#VALUE!</v>
      </c>
    </row>
    <row r="100" spans="1:5" x14ac:dyDescent="0.3">
      <c r="A100" t="s">
        <v>236</v>
      </c>
      <c r="B100" t="s">
        <v>237</v>
      </c>
      <c r="C100" t="s">
        <v>61</v>
      </c>
      <c r="D100" s="1">
        <v>2710</v>
      </c>
      <c r="E100" s="2">
        <f t="shared" si="1"/>
        <v>2024</v>
      </c>
    </row>
    <row r="101" spans="1:5" hidden="1" x14ac:dyDescent="0.3">
      <c r="A101" t="s">
        <v>238</v>
      </c>
      <c r="B101" t="s">
        <v>239</v>
      </c>
      <c r="C101" t="s">
        <v>39</v>
      </c>
      <c r="D101">
        <v>0</v>
      </c>
      <c r="E101" t="e">
        <f t="shared" si="1"/>
        <v>#VALUE!</v>
      </c>
    </row>
    <row r="102" spans="1:5" hidden="1" x14ac:dyDescent="0.3">
      <c r="A102" t="s">
        <v>240</v>
      </c>
      <c r="B102" t="s">
        <v>241</v>
      </c>
      <c r="C102" t="s">
        <v>39</v>
      </c>
      <c r="D102">
        <v>0</v>
      </c>
      <c r="E102" t="e">
        <f t="shared" si="1"/>
        <v>#VALUE!</v>
      </c>
    </row>
    <row r="103" spans="1:5" x14ac:dyDescent="0.3">
      <c r="A103" t="s">
        <v>242</v>
      </c>
      <c r="B103" t="s">
        <v>243</v>
      </c>
      <c r="C103" t="s">
        <v>244</v>
      </c>
      <c r="D103">
        <v>224</v>
      </c>
      <c r="E103" s="2">
        <f t="shared" si="1"/>
        <v>2024</v>
      </c>
    </row>
    <row r="104" spans="1:5" hidden="1" x14ac:dyDescent="0.3">
      <c r="A104" t="s">
        <v>245</v>
      </c>
      <c r="B104" t="s">
        <v>246</v>
      </c>
      <c r="C104" t="s">
        <v>39</v>
      </c>
      <c r="D104">
        <v>0</v>
      </c>
      <c r="E104" t="e">
        <f t="shared" si="1"/>
        <v>#VALUE!</v>
      </c>
    </row>
    <row r="105" spans="1:5" x14ac:dyDescent="0.3">
      <c r="A105" t="s">
        <v>247</v>
      </c>
      <c r="B105" t="s">
        <v>248</v>
      </c>
      <c r="C105" t="s">
        <v>30</v>
      </c>
      <c r="D105" s="1">
        <v>3742</v>
      </c>
      <c r="E105" s="2">
        <f t="shared" si="1"/>
        <v>2024</v>
      </c>
    </row>
    <row r="106" spans="1:5" x14ac:dyDescent="0.3">
      <c r="A106" t="s">
        <v>249</v>
      </c>
      <c r="B106" t="s">
        <v>250</v>
      </c>
      <c r="C106" t="s">
        <v>92</v>
      </c>
      <c r="D106">
        <v>0</v>
      </c>
      <c r="E106" s="2">
        <f t="shared" si="1"/>
        <v>2024</v>
      </c>
    </row>
    <row r="107" spans="1:5" hidden="1" x14ac:dyDescent="0.3">
      <c r="A107" t="s">
        <v>251</v>
      </c>
      <c r="B107" t="s">
        <v>252</v>
      </c>
      <c r="C107" t="s">
        <v>39</v>
      </c>
      <c r="D107">
        <v>0</v>
      </c>
      <c r="E107" t="e">
        <f t="shared" si="1"/>
        <v>#VALUE!</v>
      </c>
    </row>
    <row r="108" spans="1:5" x14ac:dyDescent="0.3">
      <c r="A108" t="s">
        <v>253</v>
      </c>
      <c r="B108" t="s">
        <v>254</v>
      </c>
      <c r="C108" t="s">
        <v>33</v>
      </c>
      <c r="D108">
        <v>632</v>
      </c>
      <c r="E108" s="2">
        <f t="shared" si="1"/>
        <v>2024</v>
      </c>
    </row>
    <row r="109" spans="1:5" hidden="1" x14ac:dyDescent="0.3">
      <c r="A109" t="s">
        <v>255</v>
      </c>
      <c r="B109" t="s">
        <v>256</v>
      </c>
      <c r="C109" t="s">
        <v>39</v>
      </c>
      <c r="D109">
        <v>0</v>
      </c>
      <c r="E109" t="e">
        <f t="shared" si="1"/>
        <v>#VALUE!</v>
      </c>
    </row>
    <row r="110" spans="1:5" hidden="1" x14ac:dyDescent="0.3">
      <c r="A110" t="s">
        <v>257</v>
      </c>
      <c r="B110" t="s">
        <v>258</v>
      </c>
      <c r="C110" t="s">
        <v>39</v>
      </c>
      <c r="D110" s="1">
        <v>25892</v>
      </c>
      <c r="E110" t="e">
        <f t="shared" si="1"/>
        <v>#VALUE!</v>
      </c>
    </row>
    <row r="111" spans="1:5" hidden="1" x14ac:dyDescent="0.3">
      <c r="A111" t="s">
        <v>259</v>
      </c>
      <c r="B111" t="s">
        <v>260</v>
      </c>
      <c r="C111" t="s">
        <v>39</v>
      </c>
      <c r="D111">
        <v>497</v>
      </c>
      <c r="E111" t="e">
        <f t="shared" si="1"/>
        <v>#VALUE!</v>
      </c>
    </row>
    <row r="112" spans="1:5" x14ac:dyDescent="0.3">
      <c r="A112" t="s">
        <v>261</v>
      </c>
      <c r="B112" t="s">
        <v>262</v>
      </c>
      <c r="C112" t="s">
        <v>187</v>
      </c>
      <c r="D112">
        <v>70</v>
      </c>
      <c r="E112" s="2">
        <f t="shared" si="1"/>
        <v>2024</v>
      </c>
    </row>
    <row r="113" spans="1:5" x14ac:dyDescent="0.3">
      <c r="A113" t="s">
        <v>263</v>
      </c>
      <c r="B113" t="s">
        <v>264</v>
      </c>
      <c r="C113" t="s">
        <v>92</v>
      </c>
      <c r="D113">
        <v>0</v>
      </c>
      <c r="E113" s="2">
        <f t="shared" si="1"/>
        <v>2024</v>
      </c>
    </row>
    <row r="114" spans="1:5" x14ac:dyDescent="0.3">
      <c r="A114" t="s">
        <v>265</v>
      </c>
      <c r="B114" t="s">
        <v>266</v>
      </c>
      <c r="C114" t="s">
        <v>36</v>
      </c>
      <c r="D114" s="1">
        <v>8963</v>
      </c>
      <c r="E114" s="2">
        <f t="shared" si="1"/>
        <v>2024</v>
      </c>
    </row>
    <row r="115" spans="1:5" x14ac:dyDescent="0.3">
      <c r="A115" t="s">
        <v>267</v>
      </c>
      <c r="B115" t="s">
        <v>268</v>
      </c>
      <c r="C115" t="s">
        <v>244</v>
      </c>
      <c r="D115">
        <v>0</v>
      </c>
      <c r="E115" s="2">
        <f t="shared" si="1"/>
        <v>2024</v>
      </c>
    </row>
    <row r="116" spans="1:5" x14ac:dyDescent="0.3">
      <c r="A116" t="s">
        <v>269</v>
      </c>
      <c r="B116" t="s">
        <v>270</v>
      </c>
      <c r="C116" t="s">
        <v>30</v>
      </c>
      <c r="D116" s="1">
        <v>1120</v>
      </c>
      <c r="E116" s="2">
        <f t="shared" si="1"/>
        <v>2024</v>
      </c>
    </row>
    <row r="117" spans="1:5" hidden="1" x14ac:dyDescent="0.3">
      <c r="A117" t="s">
        <v>271</v>
      </c>
      <c r="B117" t="s">
        <v>272</v>
      </c>
      <c r="C117" t="s">
        <v>39</v>
      </c>
      <c r="D117" s="1">
        <v>1313</v>
      </c>
      <c r="E117" t="e">
        <f t="shared" si="1"/>
        <v>#VALUE!</v>
      </c>
    </row>
    <row r="118" spans="1:5" x14ac:dyDescent="0.3">
      <c r="A118" t="s">
        <v>273</v>
      </c>
      <c r="B118" t="s">
        <v>274</v>
      </c>
      <c r="C118" t="s">
        <v>275</v>
      </c>
      <c r="D118" s="1">
        <v>1698</v>
      </c>
      <c r="E118" s="2">
        <f t="shared" si="1"/>
        <v>2024</v>
      </c>
    </row>
    <row r="119" spans="1:5" hidden="1" x14ac:dyDescent="0.3">
      <c r="A119" t="s">
        <v>276</v>
      </c>
      <c r="B119" t="s">
        <v>277</v>
      </c>
      <c r="C119" t="s">
        <v>39</v>
      </c>
      <c r="D119" s="1">
        <v>10232</v>
      </c>
      <c r="E119" t="e">
        <f t="shared" si="1"/>
        <v>#VALUE!</v>
      </c>
    </row>
    <row r="120" spans="1:5" hidden="1" x14ac:dyDescent="0.3">
      <c r="A120" t="s">
        <v>278</v>
      </c>
      <c r="B120" t="s">
        <v>279</v>
      </c>
      <c r="C120" t="s">
        <v>39</v>
      </c>
      <c r="D120">
        <v>0</v>
      </c>
      <c r="E120" t="e">
        <f t="shared" si="1"/>
        <v>#VALUE!</v>
      </c>
    </row>
    <row r="121" spans="1:5" hidden="1" x14ac:dyDescent="0.3">
      <c r="A121" t="s">
        <v>280</v>
      </c>
      <c r="B121" t="s">
        <v>281</v>
      </c>
      <c r="C121" t="s">
        <v>39</v>
      </c>
      <c r="D121" s="1">
        <v>7717</v>
      </c>
      <c r="E121" t="e">
        <f t="shared" si="1"/>
        <v>#VALUE!</v>
      </c>
    </row>
    <row r="122" spans="1:5" hidden="1" x14ac:dyDescent="0.3">
      <c r="A122" t="s">
        <v>282</v>
      </c>
      <c r="B122" t="s">
        <v>283</v>
      </c>
      <c r="C122" t="s">
        <v>39</v>
      </c>
      <c r="D122">
        <v>0</v>
      </c>
      <c r="E122" t="e">
        <f t="shared" si="1"/>
        <v>#VALUE!</v>
      </c>
    </row>
    <row r="123" spans="1:5" x14ac:dyDescent="0.3">
      <c r="A123" t="s">
        <v>284</v>
      </c>
      <c r="B123" t="s">
        <v>285</v>
      </c>
      <c r="C123" t="s">
        <v>92</v>
      </c>
      <c r="D123" s="1">
        <v>106922</v>
      </c>
      <c r="E123" s="2">
        <f t="shared" si="1"/>
        <v>2024</v>
      </c>
    </row>
    <row r="124" spans="1:5" x14ac:dyDescent="0.3">
      <c r="A124" t="s">
        <v>286</v>
      </c>
      <c r="B124" t="s">
        <v>287</v>
      </c>
      <c r="C124" t="s">
        <v>159</v>
      </c>
      <c r="D124">
        <v>0</v>
      </c>
      <c r="E124" s="2">
        <f t="shared" si="1"/>
        <v>2024</v>
      </c>
    </row>
    <row r="125" spans="1:5" hidden="1" x14ac:dyDescent="0.3">
      <c r="A125" t="s">
        <v>288</v>
      </c>
      <c r="B125" t="s">
        <v>289</v>
      </c>
      <c r="C125" t="s">
        <v>39</v>
      </c>
      <c r="D125">
        <v>47</v>
      </c>
      <c r="E125" t="e">
        <f t="shared" si="1"/>
        <v>#VALUE!</v>
      </c>
    </row>
    <row r="126" spans="1:5" x14ac:dyDescent="0.3">
      <c r="A126" t="s">
        <v>290</v>
      </c>
      <c r="B126" t="s">
        <v>291</v>
      </c>
      <c r="C126" t="s">
        <v>275</v>
      </c>
      <c r="D126" s="1">
        <v>2306</v>
      </c>
      <c r="E126" s="2">
        <f t="shared" si="1"/>
        <v>2024</v>
      </c>
    </row>
    <row r="127" spans="1:5" x14ac:dyDescent="0.3">
      <c r="A127" t="s">
        <v>292</v>
      </c>
      <c r="B127" t="s">
        <v>293</v>
      </c>
      <c r="C127" t="s">
        <v>92</v>
      </c>
      <c r="D127" s="1">
        <v>138709</v>
      </c>
      <c r="E127" s="2">
        <f t="shared" si="1"/>
        <v>2024</v>
      </c>
    </row>
    <row r="128" spans="1:5" x14ac:dyDescent="0.3">
      <c r="A128" t="s">
        <v>294</v>
      </c>
      <c r="B128" t="s">
        <v>295</v>
      </c>
      <c r="C128" t="s">
        <v>244</v>
      </c>
      <c r="D128">
        <v>609</v>
      </c>
      <c r="E128" s="2">
        <f t="shared" si="1"/>
        <v>2024</v>
      </c>
    </row>
    <row r="129" spans="1:5" hidden="1" x14ac:dyDescent="0.3">
      <c r="A129" t="s">
        <v>296</v>
      </c>
      <c r="B129" t="s">
        <v>297</v>
      </c>
      <c r="C129" t="s">
        <v>39</v>
      </c>
      <c r="D129" s="1">
        <v>14555</v>
      </c>
      <c r="E129" t="e">
        <f t="shared" si="1"/>
        <v>#VALUE!</v>
      </c>
    </row>
    <row r="130" spans="1:5" x14ac:dyDescent="0.3">
      <c r="A130" t="s">
        <v>298</v>
      </c>
      <c r="B130" t="s">
        <v>299</v>
      </c>
      <c r="C130" t="s">
        <v>92</v>
      </c>
      <c r="D130" s="1">
        <v>17273</v>
      </c>
      <c r="E130" s="2">
        <f t="shared" si="1"/>
        <v>2024</v>
      </c>
    </row>
    <row r="131" spans="1:5" x14ac:dyDescent="0.3">
      <c r="A131" t="s">
        <v>300</v>
      </c>
      <c r="B131" t="s">
        <v>301</v>
      </c>
      <c r="C131" t="s">
        <v>92</v>
      </c>
      <c r="D131" s="1">
        <v>262358</v>
      </c>
      <c r="E131" s="2">
        <f t="shared" ref="E131:E194" si="2">YEAR(C131)</f>
        <v>2024</v>
      </c>
    </row>
    <row r="132" spans="1:5" x14ac:dyDescent="0.3">
      <c r="A132" t="s">
        <v>302</v>
      </c>
      <c r="B132" t="s">
        <v>303</v>
      </c>
      <c r="C132" t="s">
        <v>92</v>
      </c>
      <c r="D132" s="1">
        <v>6484</v>
      </c>
      <c r="E132" s="2">
        <f t="shared" si="2"/>
        <v>2024</v>
      </c>
    </row>
    <row r="133" spans="1:5" x14ac:dyDescent="0.3">
      <c r="A133" t="s">
        <v>304</v>
      </c>
      <c r="B133" t="s">
        <v>305</v>
      </c>
      <c r="C133" t="s">
        <v>92</v>
      </c>
      <c r="D133" s="1">
        <v>70119</v>
      </c>
      <c r="E133" s="2">
        <f t="shared" si="2"/>
        <v>2024</v>
      </c>
    </row>
    <row r="134" spans="1:5" x14ac:dyDescent="0.3">
      <c r="A134" t="s">
        <v>306</v>
      </c>
      <c r="B134" t="s">
        <v>307</v>
      </c>
      <c r="C134" t="s">
        <v>153</v>
      </c>
      <c r="D134" s="1">
        <v>2677</v>
      </c>
      <c r="E134" s="2">
        <f t="shared" si="2"/>
        <v>2024</v>
      </c>
    </row>
    <row r="135" spans="1:5" x14ac:dyDescent="0.3">
      <c r="A135" t="s">
        <v>308</v>
      </c>
      <c r="B135" t="s">
        <v>309</v>
      </c>
      <c r="C135" t="s">
        <v>275</v>
      </c>
      <c r="D135" s="1">
        <v>2193</v>
      </c>
      <c r="E135" s="2">
        <f t="shared" si="2"/>
        <v>2024</v>
      </c>
    </row>
    <row r="136" spans="1:5" x14ac:dyDescent="0.3">
      <c r="A136" t="s">
        <v>310</v>
      </c>
      <c r="B136" t="s">
        <v>311</v>
      </c>
      <c r="C136" t="s">
        <v>92</v>
      </c>
      <c r="D136" s="1">
        <v>1037</v>
      </c>
      <c r="E136" s="2">
        <f t="shared" si="2"/>
        <v>2024</v>
      </c>
    </row>
    <row r="137" spans="1:5" x14ac:dyDescent="0.3">
      <c r="A137" t="s">
        <v>312</v>
      </c>
      <c r="B137" t="s">
        <v>313</v>
      </c>
      <c r="C137" t="s">
        <v>61</v>
      </c>
      <c r="D137">
        <v>619</v>
      </c>
      <c r="E137" s="2">
        <f t="shared" si="2"/>
        <v>2024</v>
      </c>
    </row>
    <row r="138" spans="1:5" x14ac:dyDescent="0.3">
      <c r="A138" t="s">
        <v>314</v>
      </c>
      <c r="B138" t="s">
        <v>315</v>
      </c>
      <c r="C138" t="s">
        <v>159</v>
      </c>
      <c r="D138" s="1">
        <v>2609</v>
      </c>
      <c r="E138" s="2">
        <f t="shared" si="2"/>
        <v>2024</v>
      </c>
    </row>
    <row r="139" spans="1:5" x14ac:dyDescent="0.3">
      <c r="A139" t="s">
        <v>316</v>
      </c>
      <c r="B139" t="s">
        <v>317</v>
      </c>
      <c r="C139" t="s">
        <v>159</v>
      </c>
      <c r="D139" s="1">
        <v>2289</v>
      </c>
      <c r="E139" s="2">
        <f t="shared" si="2"/>
        <v>2024</v>
      </c>
    </row>
    <row r="140" spans="1:5" x14ac:dyDescent="0.3">
      <c r="A140" t="s">
        <v>318</v>
      </c>
      <c r="B140" t="s">
        <v>319</v>
      </c>
      <c r="C140" t="s">
        <v>61</v>
      </c>
      <c r="D140" s="1">
        <v>2813</v>
      </c>
      <c r="E140" s="2">
        <f t="shared" si="2"/>
        <v>2024</v>
      </c>
    </row>
    <row r="141" spans="1:5" x14ac:dyDescent="0.3">
      <c r="A141" t="s">
        <v>320</v>
      </c>
      <c r="B141" t="s">
        <v>321</v>
      </c>
      <c r="C141" t="s">
        <v>159</v>
      </c>
      <c r="D141" s="1">
        <v>4589</v>
      </c>
      <c r="E141" s="2">
        <f t="shared" si="2"/>
        <v>2024</v>
      </c>
    </row>
    <row r="142" spans="1:5" x14ac:dyDescent="0.3">
      <c r="A142" t="s">
        <v>322</v>
      </c>
      <c r="B142" t="s">
        <v>323</v>
      </c>
      <c r="C142" t="s">
        <v>244</v>
      </c>
      <c r="D142" s="1">
        <v>1491</v>
      </c>
      <c r="E142" s="2">
        <f t="shared" si="2"/>
        <v>2024</v>
      </c>
    </row>
    <row r="143" spans="1:5" x14ac:dyDescent="0.3">
      <c r="A143" t="s">
        <v>324</v>
      </c>
      <c r="B143" t="s">
        <v>325</v>
      </c>
      <c r="C143" t="s">
        <v>92</v>
      </c>
      <c r="D143" s="1">
        <v>21829</v>
      </c>
      <c r="E143" s="2">
        <f t="shared" si="2"/>
        <v>2024</v>
      </c>
    </row>
    <row r="144" spans="1:5" x14ac:dyDescent="0.3">
      <c r="A144" t="s">
        <v>326</v>
      </c>
      <c r="B144" t="s">
        <v>327</v>
      </c>
      <c r="C144" t="s">
        <v>275</v>
      </c>
      <c r="D144" s="1">
        <v>2948</v>
      </c>
      <c r="E144" s="2">
        <f t="shared" si="2"/>
        <v>2024</v>
      </c>
    </row>
    <row r="145" spans="1:5" hidden="1" x14ac:dyDescent="0.3">
      <c r="A145" t="s">
        <v>328</v>
      </c>
      <c r="B145" t="s">
        <v>329</v>
      </c>
      <c r="C145" t="s">
        <v>39</v>
      </c>
      <c r="D145" s="1">
        <v>12769</v>
      </c>
      <c r="E145" t="e">
        <f t="shared" si="2"/>
        <v>#VALUE!</v>
      </c>
    </row>
    <row r="146" spans="1:5" hidden="1" x14ac:dyDescent="0.3">
      <c r="A146" t="s">
        <v>330</v>
      </c>
      <c r="B146" t="s">
        <v>331</v>
      </c>
      <c r="C146" t="s">
        <v>39</v>
      </c>
      <c r="D146">
        <v>0</v>
      </c>
      <c r="E146" t="e">
        <f t="shared" si="2"/>
        <v>#VALUE!</v>
      </c>
    </row>
    <row r="147" spans="1:5" hidden="1" x14ac:dyDescent="0.3">
      <c r="A147" t="s">
        <v>332</v>
      </c>
      <c r="B147" t="s">
        <v>333</v>
      </c>
      <c r="C147" t="s">
        <v>39</v>
      </c>
      <c r="D147">
        <v>0</v>
      </c>
      <c r="E147" t="e">
        <f t="shared" si="2"/>
        <v>#VALUE!</v>
      </c>
    </row>
    <row r="148" spans="1:5" x14ac:dyDescent="0.3">
      <c r="A148" t="s">
        <v>334</v>
      </c>
      <c r="B148" t="s">
        <v>335</v>
      </c>
      <c r="C148" t="s">
        <v>159</v>
      </c>
      <c r="D148">
        <v>0</v>
      </c>
      <c r="E148" s="2">
        <f t="shared" si="2"/>
        <v>2024</v>
      </c>
    </row>
    <row r="149" spans="1:5" hidden="1" x14ac:dyDescent="0.3">
      <c r="A149" t="s">
        <v>336</v>
      </c>
      <c r="B149" t="s">
        <v>337</v>
      </c>
      <c r="C149" t="s">
        <v>39</v>
      </c>
      <c r="D149">
        <v>90</v>
      </c>
      <c r="E149" t="e">
        <f t="shared" si="2"/>
        <v>#VALUE!</v>
      </c>
    </row>
    <row r="150" spans="1:5" hidden="1" x14ac:dyDescent="0.3">
      <c r="A150" t="s">
        <v>338</v>
      </c>
      <c r="B150" t="s">
        <v>339</v>
      </c>
      <c r="C150" t="s">
        <v>39</v>
      </c>
      <c r="D150">
        <v>0</v>
      </c>
      <c r="E150" t="e">
        <f t="shared" si="2"/>
        <v>#VALUE!</v>
      </c>
    </row>
    <row r="151" spans="1:5" hidden="1" x14ac:dyDescent="0.3">
      <c r="A151" t="s">
        <v>340</v>
      </c>
      <c r="B151" t="s">
        <v>341</v>
      </c>
      <c r="C151" t="s">
        <v>39</v>
      </c>
      <c r="D151">
        <v>618</v>
      </c>
      <c r="E151" t="e">
        <f t="shared" si="2"/>
        <v>#VALUE!</v>
      </c>
    </row>
    <row r="152" spans="1:5" hidden="1" x14ac:dyDescent="0.3">
      <c r="A152" t="s">
        <v>342</v>
      </c>
      <c r="B152" t="s">
        <v>343</v>
      </c>
      <c r="C152" t="s">
        <v>39</v>
      </c>
      <c r="D152">
        <v>0</v>
      </c>
      <c r="E152" t="e">
        <f t="shared" si="2"/>
        <v>#VALUE!</v>
      </c>
    </row>
    <row r="153" spans="1:5" x14ac:dyDescent="0.3">
      <c r="A153" t="s">
        <v>344</v>
      </c>
      <c r="B153" t="s">
        <v>345</v>
      </c>
      <c r="C153" t="s">
        <v>346</v>
      </c>
      <c r="D153">
        <v>284</v>
      </c>
      <c r="E153" s="2">
        <f t="shared" si="2"/>
        <v>2024</v>
      </c>
    </row>
    <row r="154" spans="1:5" hidden="1" x14ac:dyDescent="0.3">
      <c r="A154" t="s">
        <v>347</v>
      </c>
      <c r="B154" t="s">
        <v>348</v>
      </c>
      <c r="C154" t="s">
        <v>39</v>
      </c>
      <c r="D154">
        <v>0</v>
      </c>
      <c r="E154" t="e">
        <f t="shared" si="2"/>
        <v>#VALUE!</v>
      </c>
    </row>
    <row r="155" spans="1:5" x14ac:dyDescent="0.3">
      <c r="A155" t="s">
        <v>349</v>
      </c>
      <c r="B155" t="s">
        <v>350</v>
      </c>
      <c r="C155" t="s">
        <v>98</v>
      </c>
      <c r="D155">
        <v>39</v>
      </c>
      <c r="E155" s="2">
        <f t="shared" si="2"/>
        <v>2024</v>
      </c>
    </row>
    <row r="156" spans="1:5" x14ac:dyDescent="0.3">
      <c r="A156" t="s">
        <v>351</v>
      </c>
      <c r="B156" t="s">
        <v>352</v>
      </c>
      <c r="C156" t="s">
        <v>176</v>
      </c>
      <c r="D156">
        <v>55</v>
      </c>
      <c r="E156" s="2">
        <f t="shared" si="2"/>
        <v>2024</v>
      </c>
    </row>
    <row r="157" spans="1:5" x14ac:dyDescent="0.3">
      <c r="A157" t="s">
        <v>353</v>
      </c>
      <c r="B157" t="s">
        <v>354</v>
      </c>
      <c r="C157" t="s">
        <v>92</v>
      </c>
      <c r="D157" s="1">
        <v>31759</v>
      </c>
      <c r="E157" s="2">
        <f t="shared" si="2"/>
        <v>2024</v>
      </c>
    </row>
    <row r="158" spans="1:5" x14ac:dyDescent="0.3">
      <c r="A158" t="s">
        <v>355</v>
      </c>
      <c r="B158" t="s">
        <v>356</v>
      </c>
      <c r="C158" t="s">
        <v>159</v>
      </c>
      <c r="D158" s="1">
        <v>12685</v>
      </c>
      <c r="E158" s="2">
        <f t="shared" si="2"/>
        <v>2024</v>
      </c>
    </row>
    <row r="159" spans="1:5" x14ac:dyDescent="0.3">
      <c r="A159" t="s">
        <v>357</v>
      </c>
      <c r="B159" t="s">
        <v>358</v>
      </c>
      <c r="C159" t="s">
        <v>92</v>
      </c>
      <c r="D159" s="1">
        <v>21425</v>
      </c>
      <c r="E159" s="2">
        <f t="shared" si="2"/>
        <v>2024</v>
      </c>
    </row>
    <row r="160" spans="1:5" x14ac:dyDescent="0.3">
      <c r="A160" t="s">
        <v>359</v>
      </c>
      <c r="B160" t="s">
        <v>360</v>
      </c>
      <c r="C160" t="s">
        <v>92</v>
      </c>
      <c r="D160" s="1">
        <v>59433</v>
      </c>
      <c r="E160" s="2">
        <f t="shared" si="2"/>
        <v>2024</v>
      </c>
    </row>
    <row r="161" spans="1:5" x14ac:dyDescent="0.3">
      <c r="A161" t="s">
        <v>361</v>
      </c>
      <c r="B161" t="s">
        <v>362</v>
      </c>
      <c r="C161" t="s">
        <v>92</v>
      </c>
      <c r="D161" s="1">
        <v>25331</v>
      </c>
      <c r="E161" s="2">
        <f t="shared" si="2"/>
        <v>2024</v>
      </c>
    </row>
    <row r="162" spans="1:5" hidden="1" x14ac:dyDescent="0.3">
      <c r="A162" t="s">
        <v>363</v>
      </c>
      <c r="B162" t="s">
        <v>364</v>
      </c>
      <c r="C162" t="s">
        <v>39</v>
      </c>
      <c r="D162" s="1">
        <v>3724</v>
      </c>
      <c r="E162" t="e">
        <f t="shared" si="2"/>
        <v>#VALUE!</v>
      </c>
    </row>
    <row r="163" spans="1:5" x14ac:dyDescent="0.3">
      <c r="A163" t="s">
        <v>365</v>
      </c>
      <c r="B163" t="s">
        <v>366</v>
      </c>
      <c r="C163" t="s">
        <v>159</v>
      </c>
      <c r="D163" s="1">
        <v>2333</v>
      </c>
      <c r="E163" s="2">
        <f t="shared" si="2"/>
        <v>2024</v>
      </c>
    </row>
    <row r="164" spans="1:5" hidden="1" x14ac:dyDescent="0.3">
      <c r="A164" t="s">
        <v>367</v>
      </c>
      <c r="B164" t="s">
        <v>368</v>
      </c>
      <c r="C164" t="s">
        <v>39</v>
      </c>
      <c r="D164">
        <v>0</v>
      </c>
      <c r="E164" t="e">
        <f t="shared" si="2"/>
        <v>#VALUE!</v>
      </c>
    </row>
    <row r="165" spans="1:5" hidden="1" x14ac:dyDescent="0.3">
      <c r="A165" t="s">
        <v>369</v>
      </c>
      <c r="B165" t="s">
        <v>370</v>
      </c>
      <c r="C165" t="s">
        <v>39</v>
      </c>
      <c r="D165">
        <v>0</v>
      </c>
      <c r="E165" t="e">
        <f t="shared" si="2"/>
        <v>#VALUE!</v>
      </c>
    </row>
    <row r="166" spans="1:5" hidden="1" x14ac:dyDescent="0.3">
      <c r="A166" t="s">
        <v>371</v>
      </c>
      <c r="B166" t="s">
        <v>372</v>
      </c>
      <c r="C166" t="s">
        <v>39</v>
      </c>
      <c r="D166" s="1">
        <v>1003</v>
      </c>
      <c r="E166" t="e">
        <f t="shared" si="2"/>
        <v>#VALUE!</v>
      </c>
    </row>
    <row r="167" spans="1:5" x14ac:dyDescent="0.3">
      <c r="A167" t="s">
        <v>373</v>
      </c>
      <c r="B167" t="s">
        <v>374</v>
      </c>
      <c r="C167" t="s">
        <v>159</v>
      </c>
      <c r="D167" s="1">
        <v>14374</v>
      </c>
      <c r="E167" s="2">
        <f t="shared" si="2"/>
        <v>2024</v>
      </c>
    </row>
    <row r="168" spans="1:5" x14ac:dyDescent="0.3">
      <c r="A168" t="s">
        <v>375</v>
      </c>
      <c r="B168" t="s">
        <v>376</v>
      </c>
      <c r="C168" t="s">
        <v>92</v>
      </c>
      <c r="D168">
        <v>0</v>
      </c>
      <c r="E168" s="2">
        <f t="shared" si="2"/>
        <v>2024</v>
      </c>
    </row>
    <row r="169" spans="1:5" x14ac:dyDescent="0.3">
      <c r="A169" t="s">
        <v>377</v>
      </c>
      <c r="B169" t="s">
        <v>378</v>
      </c>
      <c r="C169" t="s">
        <v>187</v>
      </c>
      <c r="D169">
        <v>203</v>
      </c>
      <c r="E169" s="2">
        <f t="shared" si="2"/>
        <v>2024</v>
      </c>
    </row>
    <row r="170" spans="1:5" x14ac:dyDescent="0.3">
      <c r="A170" t="s">
        <v>379</v>
      </c>
      <c r="B170" t="s">
        <v>380</v>
      </c>
      <c r="C170" t="s">
        <v>159</v>
      </c>
      <c r="D170" s="1">
        <v>24451</v>
      </c>
      <c r="E170" s="2">
        <f t="shared" si="2"/>
        <v>2024</v>
      </c>
    </row>
    <row r="171" spans="1:5" x14ac:dyDescent="0.3">
      <c r="A171" t="s">
        <v>381</v>
      </c>
      <c r="B171" t="s">
        <v>382</v>
      </c>
      <c r="C171" t="s">
        <v>92</v>
      </c>
      <c r="D171">
        <v>409</v>
      </c>
      <c r="E171" s="2">
        <f t="shared" si="2"/>
        <v>2024</v>
      </c>
    </row>
    <row r="172" spans="1:5" hidden="1" x14ac:dyDescent="0.3">
      <c r="A172" t="s">
        <v>383</v>
      </c>
      <c r="B172" t="s">
        <v>384</v>
      </c>
      <c r="C172" t="s">
        <v>39</v>
      </c>
      <c r="D172">
        <v>0</v>
      </c>
      <c r="E172" t="e">
        <f t="shared" si="2"/>
        <v>#VALUE!</v>
      </c>
    </row>
    <row r="173" spans="1:5" x14ac:dyDescent="0.3">
      <c r="A173" t="s">
        <v>385</v>
      </c>
      <c r="B173" t="s">
        <v>386</v>
      </c>
      <c r="C173" t="s">
        <v>33</v>
      </c>
      <c r="D173">
        <v>0</v>
      </c>
      <c r="E173" s="2">
        <f t="shared" si="2"/>
        <v>2024</v>
      </c>
    </row>
    <row r="174" spans="1:5" x14ac:dyDescent="0.3">
      <c r="A174" t="s">
        <v>387</v>
      </c>
      <c r="B174" t="s">
        <v>388</v>
      </c>
      <c r="C174" t="s">
        <v>92</v>
      </c>
      <c r="D174" s="1">
        <v>1156</v>
      </c>
      <c r="E174" s="2">
        <f t="shared" si="2"/>
        <v>2024</v>
      </c>
    </row>
    <row r="175" spans="1:5" x14ac:dyDescent="0.3">
      <c r="A175" t="s">
        <v>389</v>
      </c>
      <c r="B175" t="s">
        <v>390</v>
      </c>
      <c r="C175" t="s">
        <v>92</v>
      </c>
      <c r="D175">
        <v>801</v>
      </c>
      <c r="E175" s="2">
        <f t="shared" si="2"/>
        <v>2024</v>
      </c>
    </row>
    <row r="176" spans="1:5" x14ac:dyDescent="0.3">
      <c r="A176" t="s">
        <v>391</v>
      </c>
      <c r="B176" t="s">
        <v>392</v>
      </c>
      <c r="C176" t="s">
        <v>92</v>
      </c>
      <c r="D176" s="1">
        <v>19046</v>
      </c>
      <c r="E176" s="2">
        <f t="shared" si="2"/>
        <v>2024</v>
      </c>
    </row>
    <row r="177" spans="1:5" x14ac:dyDescent="0.3">
      <c r="A177" t="s">
        <v>393</v>
      </c>
      <c r="B177" t="s">
        <v>394</v>
      </c>
      <c r="C177" t="s">
        <v>159</v>
      </c>
      <c r="D177" s="1">
        <v>3452</v>
      </c>
      <c r="E177" s="2">
        <f t="shared" si="2"/>
        <v>2024</v>
      </c>
    </row>
    <row r="178" spans="1:5" x14ac:dyDescent="0.3">
      <c r="A178" t="s">
        <v>395</v>
      </c>
      <c r="B178" t="s">
        <v>396</v>
      </c>
      <c r="C178" t="s">
        <v>92</v>
      </c>
      <c r="D178" s="1">
        <v>2395</v>
      </c>
      <c r="E178" s="2">
        <f t="shared" si="2"/>
        <v>2024</v>
      </c>
    </row>
    <row r="179" spans="1:5" x14ac:dyDescent="0.3">
      <c r="A179" t="s">
        <v>397</v>
      </c>
      <c r="B179" t="s">
        <v>398</v>
      </c>
      <c r="C179" t="s">
        <v>244</v>
      </c>
      <c r="D179" s="1">
        <v>2331</v>
      </c>
      <c r="E179" s="2">
        <f t="shared" si="2"/>
        <v>2024</v>
      </c>
    </row>
    <row r="180" spans="1:5" hidden="1" x14ac:dyDescent="0.3">
      <c r="A180" t="s">
        <v>399</v>
      </c>
      <c r="B180" t="s">
        <v>400</v>
      </c>
      <c r="C180" t="s">
        <v>39</v>
      </c>
      <c r="D180">
        <v>155</v>
      </c>
      <c r="E180" t="e">
        <f t="shared" si="2"/>
        <v>#VALUE!</v>
      </c>
    </row>
    <row r="181" spans="1:5" x14ac:dyDescent="0.3">
      <c r="A181" t="s">
        <v>401</v>
      </c>
      <c r="B181" t="s">
        <v>402</v>
      </c>
      <c r="C181" t="s">
        <v>92</v>
      </c>
      <c r="D181" s="1">
        <v>8879</v>
      </c>
      <c r="E181" s="2">
        <f t="shared" si="2"/>
        <v>2024</v>
      </c>
    </row>
    <row r="182" spans="1:5" x14ac:dyDescent="0.3">
      <c r="A182" t="s">
        <v>403</v>
      </c>
      <c r="B182" t="s">
        <v>404</v>
      </c>
      <c r="C182" t="s">
        <v>92</v>
      </c>
      <c r="D182" s="1">
        <v>10433</v>
      </c>
      <c r="E182" s="2">
        <f t="shared" si="2"/>
        <v>2024</v>
      </c>
    </row>
    <row r="183" spans="1:5" x14ac:dyDescent="0.3">
      <c r="A183" t="s">
        <v>405</v>
      </c>
      <c r="B183" t="s">
        <v>406</v>
      </c>
      <c r="C183" t="s">
        <v>92</v>
      </c>
      <c r="D183">
        <v>0</v>
      </c>
      <c r="E183" s="2">
        <f t="shared" si="2"/>
        <v>2024</v>
      </c>
    </row>
    <row r="184" spans="1:5" x14ac:dyDescent="0.3">
      <c r="A184" t="s">
        <v>407</v>
      </c>
      <c r="B184" t="s">
        <v>408</v>
      </c>
      <c r="C184" t="s">
        <v>159</v>
      </c>
      <c r="D184" s="1">
        <v>5174</v>
      </c>
      <c r="E184" s="2">
        <f t="shared" si="2"/>
        <v>2024</v>
      </c>
    </row>
    <row r="185" spans="1:5" x14ac:dyDescent="0.3">
      <c r="A185" t="s">
        <v>409</v>
      </c>
      <c r="B185" t="s">
        <v>410</v>
      </c>
      <c r="C185" t="s">
        <v>61</v>
      </c>
      <c r="D185" s="1">
        <v>1290</v>
      </c>
      <c r="E185" s="2">
        <f t="shared" si="2"/>
        <v>2024</v>
      </c>
    </row>
    <row r="186" spans="1:5" x14ac:dyDescent="0.3">
      <c r="A186" t="s">
        <v>411</v>
      </c>
      <c r="B186" t="s">
        <v>412</v>
      </c>
      <c r="C186" t="s">
        <v>92</v>
      </c>
      <c r="D186" s="1">
        <v>8290</v>
      </c>
      <c r="E186" s="2">
        <f t="shared" si="2"/>
        <v>2024</v>
      </c>
    </row>
    <row r="187" spans="1:5" x14ac:dyDescent="0.3">
      <c r="A187" t="s">
        <v>413</v>
      </c>
      <c r="B187" t="s">
        <v>414</v>
      </c>
      <c r="C187" t="s">
        <v>415</v>
      </c>
      <c r="D187">
        <v>504</v>
      </c>
      <c r="E187" s="2">
        <f t="shared" si="2"/>
        <v>2024</v>
      </c>
    </row>
    <row r="188" spans="1:5" hidden="1" x14ac:dyDescent="0.3">
      <c r="A188" t="s">
        <v>416</v>
      </c>
      <c r="B188" t="s">
        <v>417</v>
      </c>
      <c r="C188" t="s">
        <v>39</v>
      </c>
      <c r="D188">
        <v>0</v>
      </c>
      <c r="E188" t="e">
        <f t="shared" si="2"/>
        <v>#VALUE!</v>
      </c>
    </row>
    <row r="189" spans="1:5" x14ac:dyDescent="0.3">
      <c r="A189" t="s">
        <v>418</v>
      </c>
      <c r="B189" t="s">
        <v>419</v>
      </c>
      <c r="C189" t="s">
        <v>92</v>
      </c>
      <c r="D189" s="1">
        <v>34499</v>
      </c>
      <c r="E189" s="2">
        <f t="shared" si="2"/>
        <v>2024</v>
      </c>
    </row>
    <row r="190" spans="1:5" x14ac:dyDescent="0.3">
      <c r="A190" t="s">
        <v>420</v>
      </c>
      <c r="B190" t="s">
        <v>421</v>
      </c>
      <c r="C190" t="s">
        <v>61</v>
      </c>
      <c r="D190">
        <v>499</v>
      </c>
      <c r="E190" s="2">
        <f t="shared" si="2"/>
        <v>2024</v>
      </c>
    </row>
    <row r="191" spans="1:5" x14ac:dyDescent="0.3">
      <c r="A191" t="s">
        <v>422</v>
      </c>
      <c r="B191" t="s">
        <v>423</v>
      </c>
      <c r="C191" t="s">
        <v>275</v>
      </c>
      <c r="D191" s="1">
        <v>1105</v>
      </c>
      <c r="E191" s="2">
        <f t="shared" si="2"/>
        <v>2024</v>
      </c>
    </row>
    <row r="192" spans="1:5" x14ac:dyDescent="0.3">
      <c r="A192" t="s">
        <v>424</v>
      </c>
      <c r="B192" t="s">
        <v>425</v>
      </c>
      <c r="C192" t="s">
        <v>159</v>
      </c>
      <c r="D192" s="1">
        <v>14950</v>
      </c>
      <c r="E192" s="2">
        <f t="shared" si="2"/>
        <v>2024</v>
      </c>
    </row>
    <row r="193" spans="1:5" hidden="1" x14ac:dyDescent="0.3">
      <c r="A193" t="s">
        <v>426</v>
      </c>
      <c r="B193" t="s">
        <v>427</v>
      </c>
      <c r="C193" t="s">
        <v>39</v>
      </c>
      <c r="D193">
        <v>0</v>
      </c>
      <c r="E193" t="e">
        <f t="shared" si="2"/>
        <v>#VALUE!</v>
      </c>
    </row>
    <row r="194" spans="1:5" x14ac:dyDescent="0.3">
      <c r="A194" t="s">
        <v>428</v>
      </c>
      <c r="B194" t="s">
        <v>429</v>
      </c>
      <c r="C194" t="s">
        <v>244</v>
      </c>
      <c r="D194" s="1">
        <v>2089</v>
      </c>
      <c r="E194" s="2">
        <f t="shared" si="2"/>
        <v>2024</v>
      </c>
    </row>
    <row r="195" spans="1:5" hidden="1" x14ac:dyDescent="0.3">
      <c r="A195" t="s">
        <v>430</v>
      </c>
      <c r="B195" t="s">
        <v>431</v>
      </c>
      <c r="C195" t="s">
        <v>39</v>
      </c>
      <c r="D195">
        <v>0</v>
      </c>
      <c r="E195" t="e">
        <f t="shared" ref="E195:E200" si="3">YEAR(C195)</f>
        <v>#VALUE!</v>
      </c>
    </row>
    <row r="196" spans="1:5" x14ac:dyDescent="0.3">
      <c r="A196" t="s">
        <v>432</v>
      </c>
      <c r="B196" t="s">
        <v>433</v>
      </c>
      <c r="C196" t="s">
        <v>159</v>
      </c>
      <c r="D196">
        <v>0</v>
      </c>
      <c r="E196" s="2">
        <f t="shared" si="3"/>
        <v>2024</v>
      </c>
    </row>
    <row r="197" spans="1:5" hidden="1" x14ac:dyDescent="0.3">
      <c r="A197" t="s">
        <v>434</v>
      </c>
      <c r="B197" t="s">
        <v>435</v>
      </c>
      <c r="C197" t="s">
        <v>39</v>
      </c>
      <c r="D197">
        <v>0</v>
      </c>
      <c r="E197" t="e">
        <f t="shared" si="3"/>
        <v>#VALUE!</v>
      </c>
    </row>
    <row r="198" spans="1:5" hidden="1" x14ac:dyDescent="0.3">
      <c r="A198" t="s">
        <v>436</v>
      </c>
      <c r="B198" t="s">
        <v>437</v>
      </c>
      <c r="C198" t="s">
        <v>39</v>
      </c>
      <c r="D198">
        <v>0</v>
      </c>
      <c r="E198" t="e">
        <f t="shared" si="3"/>
        <v>#VALUE!</v>
      </c>
    </row>
    <row r="199" spans="1:5" x14ac:dyDescent="0.3">
      <c r="A199" t="s">
        <v>438</v>
      </c>
      <c r="B199" t="s">
        <v>439</v>
      </c>
      <c r="C199" t="s">
        <v>92</v>
      </c>
      <c r="D199">
        <v>0</v>
      </c>
      <c r="E199" s="2">
        <f t="shared" si="3"/>
        <v>2024</v>
      </c>
    </row>
    <row r="200" spans="1:5" hidden="1" x14ac:dyDescent="0.3">
      <c r="A200" t="s">
        <v>440</v>
      </c>
      <c r="B200" t="s">
        <v>441</v>
      </c>
      <c r="C200" t="s">
        <v>39</v>
      </c>
      <c r="D200">
        <v>0</v>
      </c>
      <c r="E200" t="e">
        <f t="shared" si="3"/>
        <v>#VALUE!</v>
      </c>
    </row>
    <row r="209" spans="4:4" x14ac:dyDescent="0.3">
      <c r="D209" s="1"/>
    </row>
    <row r="211" spans="4:4" x14ac:dyDescent="0.3">
      <c r="D211" s="1"/>
    </row>
    <row r="212" spans="4:4" x14ac:dyDescent="0.3">
      <c r="D212" s="1"/>
    </row>
    <row r="214" spans="4:4" x14ac:dyDescent="0.3">
      <c r="D214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2" spans="4:4" x14ac:dyDescent="0.3">
      <c r="D222" s="1"/>
    </row>
    <row r="223" spans="4:4" x14ac:dyDescent="0.3">
      <c r="D223" s="1"/>
    </row>
    <row r="225" spans="4:4" x14ac:dyDescent="0.3">
      <c r="D225" s="1"/>
    </row>
    <row r="226" spans="4:4" x14ac:dyDescent="0.3">
      <c r="D226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2" spans="4:4" x14ac:dyDescent="0.3">
      <c r="D232" s="1"/>
    </row>
    <row r="234" spans="4:4" x14ac:dyDescent="0.3">
      <c r="D234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6" spans="4:4" x14ac:dyDescent="0.3">
      <c r="D246" s="1"/>
    </row>
    <row r="247" spans="4:4" x14ac:dyDescent="0.3">
      <c r="D247" s="1"/>
    </row>
    <row r="250" spans="4:4" x14ac:dyDescent="0.3">
      <c r="D250" s="1"/>
    </row>
    <row r="251" spans="4:4" x14ac:dyDescent="0.3">
      <c r="D251" s="1"/>
    </row>
    <row r="253" spans="4:4" x14ac:dyDescent="0.3">
      <c r="D253" s="1"/>
    </row>
    <row r="254" spans="4:4" x14ac:dyDescent="0.3">
      <c r="D254" s="1"/>
    </row>
    <row r="258" spans="4:4" x14ac:dyDescent="0.3">
      <c r="D258" s="1"/>
    </row>
    <row r="259" spans="4:4" x14ac:dyDescent="0.3">
      <c r="D259" s="1"/>
    </row>
    <row r="261" spans="4:4" x14ac:dyDescent="0.3">
      <c r="D261" s="1"/>
    </row>
    <row r="262" spans="4:4" x14ac:dyDescent="0.3">
      <c r="D262" s="1"/>
    </row>
    <row r="265" spans="4:4" x14ac:dyDescent="0.3">
      <c r="D265" s="1"/>
    </row>
    <row r="268" spans="4:4" x14ac:dyDescent="0.3">
      <c r="D268" s="1"/>
    </row>
    <row r="274" spans="4:4" x14ac:dyDescent="0.3">
      <c r="D274" s="1"/>
    </row>
    <row r="315" spans="4:4" x14ac:dyDescent="0.3">
      <c r="D315" s="1"/>
    </row>
    <row r="317" spans="4:4" x14ac:dyDescent="0.3">
      <c r="D317" s="1"/>
    </row>
    <row r="324" spans="4:4" x14ac:dyDescent="0.3">
      <c r="D324" s="1"/>
    </row>
    <row r="329" spans="4:4" x14ac:dyDescent="0.3">
      <c r="D329" s="1"/>
    </row>
    <row r="330" spans="4:4" x14ac:dyDescent="0.3">
      <c r="D330" s="1"/>
    </row>
    <row r="334" spans="4:4" x14ac:dyDescent="0.3">
      <c r="D334" s="1"/>
    </row>
    <row r="339" spans="4:4" x14ac:dyDescent="0.3">
      <c r="D339" s="1"/>
    </row>
    <row r="343" spans="4:4" x14ac:dyDescent="0.3">
      <c r="D343" s="1"/>
    </row>
    <row r="345" spans="4:4" x14ac:dyDescent="0.3">
      <c r="D345" s="1"/>
    </row>
    <row r="346" spans="4:4" x14ac:dyDescent="0.3">
      <c r="D346" s="1"/>
    </row>
    <row r="348" spans="4:4" x14ac:dyDescent="0.3">
      <c r="D348" s="1"/>
    </row>
    <row r="349" spans="4:4" x14ac:dyDescent="0.3">
      <c r="D349" s="1"/>
    </row>
    <row r="352" spans="4:4" x14ac:dyDescent="0.3">
      <c r="D352" s="1"/>
    </row>
    <row r="353" spans="4:4" x14ac:dyDescent="0.3">
      <c r="D353" s="1"/>
    </row>
    <row r="359" spans="4:4" x14ac:dyDescent="0.3">
      <c r="D359" s="1"/>
    </row>
    <row r="361" spans="4:4" x14ac:dyDescent="0.3">
      <c r="D361" s="1"/>
    </row>
    <row r="364" spans="4:4" x14ac:dyDescent="0.3">
      <c r="D364" s="1"/>
    </row>
    <row r="372" spans="4:4" x14ac:dyDescent="0.3">
      <c r="D372" s="1"/>
    </row>
    <row r="373" spans="4:4" x14ac:dyDescent="0.3">
      <c r="D373" s="1"/>
    </row>
    <row r="378" spans="4:4" x14ac:dyDescent="0.3">
      <c r="D378" s="1"/>
    </row>
    <row r="379" spans="4:4" x14ac:dyDescent="0.3">
      <c r="D379" s="1"/>
    </row>
    <row r="383" spans="4:4" x14ac:dyDescent="0.3">
      <c r="D383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2" spans="4:4" x14ac:dyDescent="0.3">
      <c r="D392" s="1"/>
    </row>
    <row r="395" spans="4:4" x14ac:dyDescent="0.3">
      <c r="D395" s="1"/>
    </row>
    <row r="399" spans="4:4" x14ac:dyDescent="0.3">
      <c r="D399" s="1"/>
    </row>
    <row r="405" spans="4:4" x14ac:dyDescent="0.3">
      <c r="D405" s="1"/>
    </row>
    <row r="406" spans="4:4" x14ac:dyDescent="0.3">
      <c r="D406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9" spans="4:4" x14ac:dyDescent="0.3">
      <c r="D419" s="1"/>
    </row>
    <row r="424" spans="4:4" x14ac:dyDescent="0.3">
      <c r="D424" s="1"/>
    </row>
    <row r="428" spans="4:4" x14ac:dyDescent="0.3">
      <c r="D428" s="1"/>
    </row>
    <row r="431" spans="4:4" x14ac:dyDescent="0.3">
      <c r="D431" s="1"/>
    </row>
    <row r="438" spans="4:4" x14ac:dyDescent="0.3">
      <c r="D438" s="1"/>
    </row>
    <row r="446" spans="4:4" x14ac:dyDescent="0.3">
      <c r="D446" s="1"/>
    </row>
    <row r="455" spans="4:4" x14ac:dyDescent="0.3">
      <c r="D455" s="1"/>
    </row>
    <row r="462" spans="4:4" x14ac:dyDescent="0.3">
      <c r="D462" s="1"/>
    </row>
    <row r="468" spans="4:4" x14ac:dyDescent="0.3">
      <c r="D468" s="1"/>
    </row>
    <row r="470" spans="4:4" x14ac:dyDescent="0.3">
      <c r="D470" s="1"/>
    </row>
    <row r="478" spans="4:4" x14ac:dyDescent="0.3">
      <c r="D478" s="1"/>
    </row>
    <row r="486" spans="4:4" x14ac:dyDescent="0.3">
      <c r="D486" s="1"/>
    </row>
    <row r="487" spans="4:4" x14ac:dyDescent="0.3">
      <c r="D487" s="1"/>
    </row>
  </sheetData>
  <autoFilter ref="A1:D200" xr:uid="{DCF57F1E-7F7E-42C0-A9EE-C5D40889BAA4}">
    <filterColumn colId="2">
      <filters>
        <filter val="April 21, 2024"/>
        <filter val="April 22, 2023"/>
        <filter val="August 7, 2024"/>
        <filter val="December 1, 2024"/>
        <filter val="December 2, 2024"/>
        <filter val="December 3, 2024"/>
        <filter val="December 4, 2024"/>
        <filter val="December 5, 2024"/>
        <filter val="December 6, 2024"/>
        <filter val="December 7, 2024"/>
        <filter val="February 10, 2024"/>
        <filter val="February 22, 2023"/>
        <filter val="June 28, 2022"/>
        <filter val="November 10, 2024"/>
        <filter val="November 11, 2024"/>
        <filter val="November 13, 2024"/>
        <filter val="November 15, 2024"/>
        <filter val="November 17, 2024"/>
        <filter val="November 19, 2024"/>
        <filter val="November 21, 2024"/>
        <filter val="November 22, 2024"/>
        <filter val="November 25, 2024"/>
        <filter val="November 26, 2024"/>
        <filter val="November 27, 2024"/>
        <filter val="November 28, 2024"/>
        <filter val="November 29, 2024"/>
        <filter val="November 30, 2024"/>
        <filter val="November 4, 2024"/>
        <filter val="November 5, 2024"/>
        <filter val="November 6, 2024"/>
        <filter val="November 7, 2024"/>
        <filter val="November 8, 2024"/>
        <filter val="November 9, 2024"/>
        <filter val="October 15, 2024"/>
        <filter val="October 16, 2024"/>
        <filter val="October 20, 2024"/>
        <filter val="October 26, 2024"/>
        <filter val="October 29, 2024"/>
        <filter val="October 5, 2024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8126-E768-4DA8-8F75-CB88AD5BB818}">
  <dimension ref="A1:B200"/>
  <sheetViews>
    <sheetView tabSelected="1" workbookViewId="0">
      <selection activeCell="D21" sqref="D21"/>
    </sheetView>
  </sheetViews>
  <sheetFormatPr defaultRowHeight="14" x14ac:dyDescent="0.3"/>
  <cols>
    <col min="1" max="1" width="28.4140625" bestFit="1" customWidth="1"/>
    <col min="2" max="2" width="15.0820312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300</v>
      </c>
      <c r="B2" s="1">
        <v>262358</v>
      </c>
    </row>
    <row r="3" spans="1:2" x14ac:dyDescent="0.3">
      <c r="A3" t="s">
        <v>292</v>
      </c>
      <c r="B3" s="1">
        <v>138709</v>
      </c>
    </row>
    <row r="4" spans="1:2" x14ac:dyDescent="0.3">
      <c r="A4" t="s">
        <v>284</v>
      </c>
      <c r="B4" s="1">
        <v>106922</v>
      </c>
    </row>
    <row r="5" spans="1:2" x14ac:dyDescent="0.3">
      <c r="A5" t="s">
        <v>213</v>
      </c>
      <c r="B5" s="1">
        <v>89127</v>
      </c>
    </row>
    <row r="6" spans="1:2" x14ac:dyDescent="0.3">
      <c r="A6" t="s">
        <v>225</v>
      </c>
      <c r="B6" s="1">
        <v>72233</v>
      </c>
    </row>
    <row r="7" spans="1:2" x14ac:dyDescent="0.3">
      <c r="A7" t="s">
        <v>304</v>
      </c>
      <c r="B7" s="1">
        <v>70119</v>
      </c>
    </row>
    <row r="8" spans="1:2" x14ac:dyDescent="0.3">
      <c r="A8" t="s">
        <v>359</v>
      </c>
      <c r="B8" s="1">
        <v>59433</v>
      </c>
    </row>
    <row r="9" spans="1:2" x14ac:dyDescent="0.3">
      <c r="A9" t="s">
        <v>193</v>
      </c>
      <c r="B9" s="1">
        <v>50666</v>
      </c>
    </row>
    <row r="10" spans="1:2" x14ac:dyDescent="0.3">
      <c r="A10" t="s">
        <v>418</v>
      </c>
      <c r="B10" s="1">
        <v>34499</v>
      </c>
    </row>
    <row r="11" spans="1:2" x14ac:dyDescent="0.3">
      <c r="A11" t="s">
        <v>353</v>
      </c>
      <c r="B11" s="1">
        <v>31759</v>
      </c>
    </row>
    <row r="12" spans="1:2" x14ac:dyDescent="0.3">
      <c r="A12" t="s">
        <v>257</v>
      </c>
      <c r="B12" s="1">
        <v>25892</v>
      </c>
    </row>
    <row r="13" spans="1:2" x14ac:dyDescent="0.3">
      <c r="A13" t="s">
        <v>221</v>
      </c>
      <c r="B13" s="1">
        <v>25886</v>
      </c>
    </row>
    <row r="14" spans="1:2" x14ac:dyDescent="0.3">
      <c r="A14" t="s">
        <v>361</v>
      </c>
      <c r="B14" s="1">
        <v>25331</v>
      </c>
    </row>
    <row r="15" spans="1:2" x14ac:dyDescent="0.3">
      <c r="A15" t="s">
        <v>379</v>
      </c>
      <c r="B15" s="1">
        <v>24451</v>
      </c>
    </row>
    <row r="16" spans="1:2" x14ac:dyDescent="0.3">
      <c r="A16" t="s">
        <v>324</v>
      </c>
      <c r="B16" s="1">
        <v>21829</v>
      </c>
    </row>
    <row r="17" spans="1:2" x14ac:dyDescent="0.3">
      <c r="A17" t="s">
        <v>357</v>
      </c>
      <c r="B17" s="1">
        <v>21425</v>
      </c>
    </row>
    <row r="18" spans="1:2" x14ac:dyDescent="0.3">
      <c r="A18" t="s">
        <v>391</v>
      </c>
      <c r="B18" s="1">
        <v>19046</v>
      </c>
    </row>
    <row r="19" spans="1:2" x14ac:dyDescent="0.3">
      <c r="A19" t="s">
        <v>298</v>
      </c>
      <c r="B19" s="1">
        <v>17273</v>
      </c>
    </row>
    <row r="20" spans="1:2" x14ac:dyDescent="0.3">
      <c r="A20" t="s">
        <v>424</v>
      </c>
      <c r="B20" s="1">
        <v>14950</v>
      </c>
    </row>
    <row r="21" spans="1:2" x14ac:dyDescent="0.3">
      <c r="A21" t="s">
        <v>296</v>
      </c>
      <c r="B21" s="1">
        <v>14555</v>
      </c>
    </row>
    <row r="22" spans="1:2" x14ac:dyDescent="0.3">
      <c r="A22" t="s">
        <v>373</v>
      </c>
      <c r="B22" s="1">
        <v>14374</v>
      </c>
    </row>
    <row r="23" spans="1:2" x14ac:dyDescent="0.3">
      <c r="A23" t="s">
        <v>328</v>
      </c>
      <c r="B23" s="1">
        <v>12769</v>
      </c>
    </row>
    <row r="24" spans="1:2" x14ac:dyDescent="0.3">
      <c r="A24" t="s">
        <v>355</v>
      </c>
      <c r="B24" s="1">
        <v>12685</v>
      </c>
    </row>
    <row r="25" spans="1:2" x14ac:dyDescent="0.3">
      <c r="A25" t="s">
        <v>215</v>
      </c>
      <c r="B25" s="1">
        <v>12093</v>
      </c>
    </row>
    <row r="26" spans="1:2" x14ac:dyDescent="0.3">
      <c r="A26" t="s">
        <v>403</v>
      </c>
      <c r="B26" s="1">
        <v>10433</v>
      </c>
    </row>
    <row r="27" spans="1:2" x14ac:dyDescent="0.3">
      <c r="A27" t="s">
        <v>276</v>
      </c>
      <c r="B27" s="1">
        <v>10232</v>
      </c>
    </row>
    <row r="28" spans="1:2" x14ac:dyDescent="0.3">
      <c r="A28" t="s">
        <v>157</v>
      </c>
      <c r="B28" s="1">
        <v>9853</v>
      </c>
    </row>
    <row r="29" spans="1:2" x14ac:dyDescent="0.3">
      <c r="A29" t="s">
        <v>265</v>
      </c>
      <c r="B29" s="1">
        <v>8963</v>
      </c>
    </row>
    <row r="30" spans="1:2" x14ac:dyDescent="0.3">
      <c r="A30" t="s">
        <v>401</v>
      </c>
      <c r="B30" s="1">
        <v>8879</v>
      </c>
    </row>
    <row r="31" spans="1:2" x14ac:dyDescent="0.3">
      <c r="A31" t="s">
        <v>411</v>
      </c>
      <c r="B31" s="1">
        <v>8290</v>
      </c>
    </row>
    <row r="32" spans="1:2" x14ac:dyDescent="0.3">
      <c r="A32" t="s">
        <v>280</v>
      </c>
      <c r="B32" s="1">
        <v>7717</v>
      </c>
    </row>
    <row r="33" spans="1:2" x14ac:dyDescent="0.3">
      <c r="A33" t="s">
        <v>302</v>
      </c>
      <c r="B33" s="1">
        <v>6484</v>
      </c>
    </row>
    <row r="34" spans="1:2" x14ac:dyDescent="0.3">
      <c r="A34" t="s">
        <v>209</v>
      </c>
      <c r="B34" s="1">
        <v>5252</v>
      </c>
    </row>
    <row r="35" spans="1:2" x14ac:dyDescent="0.3">
      <c r="A35" t="s">
        <v>407</v>
      </c>
      <c r="B35" s="1">
        <v>5174</v>
      </c>
    </row>
    <row r="36" spans="1:2" x14ac:dyDescent="0.3">
      <c r="A36" t="s">
        <v>320</v>
      </c>
      <c r="B36" s="1">
        <v>4589</v>
      </c>
    </row>
    <row r="37" spans="1:2" x14ac:dyDescent="0.3">
      <c r="A37" t="s">
        <v>247</v>
      </c>
      <c r="B37" s="1">
        <v>3742</v>
      </c>
    </row>
    <row r="38" spans="1:2" x14ac:dyDescent="0.3">
      <c r="A38" t="s">
        <v>363</v>
      </c>
      <c r="B38" s="1">
        <v>3724</v>
      </c>
    </row>
    <row r="39" spans="1:2" x14ac:dyDescent="0.3">
      <c r="A39" t="s">
        <v>211</v>
      </c>
      <c r="B39" s="1">
        <v>3614</v>
      </c>
    </row>
    <row r="40" spans="1:2" x14ac:dyDescent="0.3">
      <c r="A40" t="s">
        <v>393</v>
      </c>
      <c r="B40" s="1">
        <v>3452</v>
      </c>
    </row>
    <row r="41" spans="1:2" x14ac:dyDescent="0.3">
      <c r="A41" t="s">
        <v>326</v>
      </c>
      <c r="B41" s="1">
        <v>2948</v>
      </c>
    </row>
    <row r="42" spans="1:2" x14ac:dyDescent="0.3">
      <c r="A42" t="s">
        <v>318</v>
      </c>
      <c r="B42" s="1">
        <v>2813</v>
      </c>
    </row>
    <row r="43" spans="1:2" x14ac:dyDescent="0.3">
      <c r="A43" t="s">
        <v>236</v>
      </c>
      <c r="B43" s="1">
        <v>2710</v>
      </c>
    </row>
    <row r="44" spans="1:2" x14ac:dyDescent="0.3">
      <c r="A44" t="s">
        <v>306</v>
      </c>
      <c r="B44" s="1">
        <v>2677</v>
      </c>
    </row>
    <row r="45" spans="1:2" x14ac:dyDescent="0.3">
      <c r="A45" t="s">
        <v>314</v>
      </c>
      <c r="B45" s="1">
        <v>2609</v>
      </c>
    </row>
    <row r="46" spans="1:2" x14ac:dyDescent="0.3">
      <c r="A46" t="s">
        <v>395</v>
      </c>
      <c r="B46" s="1">
        <v>2395</v>
      </c>
    </row>
    <row r="47" spans="1:2" x14ac:dyDescent="0.3">
      <c r="A47" t="s">
        <v>365</v>
      </c>
      <c r="B47" s="1">
        <v>2333</v>
      </c>
    </row>
    <row r="48" spans="1:2" x14ac:dyDescent="0.3">
      <c r="A48" t="s">
        <v>397</v>
      </c>
      <c r="B48" s="1">
        <v>2331</v>
      </c>
    </row>
    <row r="49" spans="1:2" x14ac:dyDescent="0.3">
      <c r="A49" t="s">
        <v>290</v>
      </c>
      <c r="B49" s="1">
        <v>2306</v>
      </c>
    </row>
    <row r="50" spans="1:2" x14ac:dyDescent="0.3">
      <c r="A50" t="s">
        <v>316</v>
      </c>
      <c r="B50" s="1">
        <v>2289</v>
      </c>
    </row>
    <row r="51" spans="1:2" x14ac:dyDescent="0.3">
      <c r="A51" t="s">
        <v>308</v>
      </c>
      <c r="B51" s="1">
        <v>2193</v>
      </c>
    </row>
    <row r="52" spans="1:2" x14ac:dyDescent="0.3">
      <c r="A52" t="s">
        <v>428</v>
      </c>
      <c r="B52" s="1">
        <v>2089</v>
      </c>
    </row>
    <row r="53" spans="1:2" x14ac:dyDescent="0.3">
      <c r="A53" t="s">
        <v>273</v>
      </c>
      <c r="B53" s="1">
        <v>1698</v>
      </c>
    </row>
    <row r="54" spans="1:2" x14ac:dyDescent="0.3">
      <c r="A54" t="s">
        <v>34</v>
      </c>
      <c r="B54" s="1">
        <v>1660</v>
      </c>
    </row>
    <row r="55" spans="1:2" x14ac:dyDescent="0.3">
      <c r="A55" t="s">
        <v>322</v>
      </c>
      <c r="B55" s="1">
        <v>1491</v>
      </c>
    </row>
    <row r="56" spans="1:2" x14ac:dyDescent="0.3">
      <c r="A56" t="s">
        <v>88</v>
      </c>
      <c r="B56" s="1">
        <v>1457</v>
      </c>
    </row>
    <row r="57" spans="1:2" x14ac:dyDescent="0.3">
      <c r="A57" t="s">
        <v>232</v>
      </c>
      <c r="B57" s="1">
        <v>1363</v>
      </c>
    </row>
    <row r="58" spans="1:2" x14ac:dyDescent="0.3">
      <c r="A58" t="s">
        <v>223</v>
      </c>
      <c r="B58" s="1">
        <v>1351</v>
      </c>
    </row>
    <row r="59" spans="1:2" x14ac:dyDescent="0.3">
      <c r="A59" t="s">
        <v>271</v>
      </c>
      <c r="B59" s="1">
        <v>1313</v>
      </c>
    </row>
    <row r="60" spans="1:2" x14ac:dyDescent="0.3">
      <c r="A60" t="s">
        <v>409</v>
      </c>
      <c r="B60" s="1">
        <v>1290</v>
      </c>
    </row>
    <row r="61" spans="1:2" x14ac:dyDescent="0.3">
      <c r="A61" t="s">
        <v>387</v>
      </c>
      <c r="B61" s="1">
        <v>1156</v>
      </c>
    </row>
    <row r="62" spans="1:2" x14ac:dyDescent="0.3">
      <c r="A62" t="s">
        <v>269</v>
      </c>
      <c r="B62" s="1">
        <v>1120</v>
      </c>
    </row>
    <row r="63" spans="1:2" x14ac:dyDescent="0.3">
      <c r="A63" t="s">
        <v>205</v>
      </c>
      <c r="B63" s="1">
        <v>1105</v>
      </c>
    </row>
    <row r="64" spans="1:2" x14ac:dyDescent="0.3">
      <c r="A64" t="s">
        <v>422</v>
      </c>
      <c r="B64" s="1">
        <v>1105</v>
      </c>
    </row>
    <row r="65" spans="1:2" x14ac:dyDescent="0.3">
      <c r="A65" t="s">
        <v>310</v>
      </c>
      <c r="B65" s="1">
        <v>1037</v>
      </c>
    </row>
    <row r="66" spans="1:2" x14ac:dyDescent="0.3">
      <c r="A66" t="s">
        <v>147</v>
      </c>
      <c r="B66" s="1">
        <v>1027</v>
      </c>
    </row>
    <row r="67" spans="1:2" x14ac:dyDescent="0.3">
      <c r="A67" t="s">
        <v>371</v>
      </c>
      <c r="B67" s="1">
        <v>1003</v>
      </c>
    </row>
    <row r="68" spans="1:2" x14ac:dyDescent="0.3">
      <c r="A68" t="s">
        <v>143</v>
      </c>
      <c r="B68">
        <v>955</v>
      </c>
    </row>
    <row r="69" spans="1:2" x14ac:dyDescent="0.3">
      <c r="A69" t="s">
        <v>104</v>
      </c>
      <c r="B69">
        <v>924</v>
      </c>
    </row>
    <row r="70" spans="1:2" x14ac:dyDescent="0.3">
      <c r="A70" t="s">
        <v>389</v>
      </c>
      <c r="B70">
        <v>801</v>
      </c>
    </row>
    <row r="71" spans="1:2" x14ac:dyDescent="0.3">
      <c r="A71" t="s">
        <v>66</v>
      </c>
      <c r="B71">
        <v>783</v>
      </c>
    </row>
    <row r="72" spans="1:2" x14ac:dyDescent="0.3">
      <c r="A72" t="s">
        <v>62</v>
      </c>
      <c r="B72">
        <v>724</v>
      </c>
    </row>
    <row r="73" spans="1:2" x14ac:dyDescent="0.3">
      <c r="A73" t="s">
        <v>201</v>
      </c>
      <c r="B73">
        <v>703</v>
      </c>
    </row>
    <row r="74" spans="1:2" x14ac:dyDescent="0.3">
      <c r="A74" t="s">
        <v>101</v>
      </c>
      <c r="B74">
        <v>646</v>
      </c>
    </row>
    <row r="75" spans="1:2" x14ac:dyDescent="0.3">
      <c r="A75" t="s">
        <v>253</v>
      </c>
      <c r="B75">
        <v>632</v>
      </c>
    </row>
    <row r="76" spans="1:2" x14ac:dyDescent="0.3">
      <c r="A76" t="s">
        <v>312</v>
      </c>
      <c r="B76">
        <v>619</v>
      </c>
    </row>
    <row r="77" spans="1:2" x14ac:dyDescent="0.3">
      <c r="A77" t="s">
        <v>340</v>
      </c>
      <c r="B77">
        <v>618</v>
      </c>
    </row>
    <row r="78" spans="1:2" x14ac:dyDescent="0.3">
      <c r="A78" t="s">
        <v>294</v>
      </c>
      <c r="B78">
        <v>609</v>
      </c>
    </row>
    <row r="79" spans="1:2" x14ac:dyDescent="0.3">
      <c r="A79" t="s">
        <v>413</v>
      </c>
      <c r="B79">
        <v>504</v>
      </c>
    </row>
    <row r="80" spans="1:2" x14ac:dyDescent="0.3">
      <c r="A80" t="s">
        <v>420</v>
      </c>
      <c r="B80">
        <v>499</v>
      </c>
    </row>
    <row r="81" spans="1:2" x14ac:dyDescent="0.3">
      <c r="A81" t="s">
        <v>259</v>
      </c>
      <c r="B81">
        <v>497</v>
      </c>
    </row>
    <row r="82" spans="1:2" x14ac:dyDescent="0.3">
      <c r="A82" t="s">
        <v>4</v>
      </c>
      <c r="B82">
        <v>443</v>
      </c>
    </row>
    <row r="83" spans="1:2" x14ac:dyDescent="0.3">
      <c r="A83" t="s">
        <v>381</v>
      </c>
      <c r="B83">
        <v>409</v>
      </c>
    </row>
    <row r="84" spans="1:2" x14ac:dyDescent="0.3">
      <c r="A84" t="s">
        <v>28</v>
      </c>
      <c r="B84">
        <v>284</v>
      </c>
    </row>
    <row r="85" spans="1:2" x14ac:dyDescent="0.3">
      <c r="A85" t="s">
        <v>344</v>
      </c>
      <c r="B85">
        <v>284</v>
      </c>
    </row>
    <row r="86" spans="1:2" x14ac:dyDescent="0.3">
      <c r="A86" t="s">
        <v>68</v>
      </c>
      <c r="B86">
        <v>280</v>
      </c>
    </row>
    <row r="87" spans="1:2" x14ac:dyDescent="0.3">
      <c r="A87" t="s">
        <v>44</v>
      </c>
      <c r="B87">
        <v>262</v>
      </c>
    </row>
    <row r="88" spans="1:2" x14ac:dyDescent="0.3">
      <c r="A88" t="s">
        <v>93</v>
      </c>
      <c r="B88">
        <v>261</v>
      </c>
    </row>
    <row r="89" spans="1:2" x14ac:dyDescent="0.3">
      <c r="A89" t="s">
        <v>31</v>
      </c>
      <c r="B89">
        <v>257</v>
      </c>
    </row>
    <row r="90" spans="1:2" x14ac:dyDescent="0.3">
      <c r="A90" t="s">
        <v>242</v>
      </c>
      <c r="B90">
        <v>224</v>
      </c>
    </row>
    <row r="91" spans="1:2" x14ac:dyDescent="0.3">
      <c r="A91" t="s">
        <v>377</v>
      </c>
      <c r="B91">
        <v>203</v>
      </c>
    </row>
    <row r="92" spans="1:2" x14ac:dyDescent="0.3">
      <c r="A92" t="s">
        <v>125</v>
      </c>
      <c r="B92">
        <v>186</v>
      </c>
    </row>
    <row r="93" spans="1:2" x14ac:dyDescent="0.3">
      <c r="A93" t="s">
        <v>195</v>
      </c>
      <c r="B93">
        <v>169</v>
      </c>
    </row>
    <row r="94" spans="1:2" x14ac:dyDescent="0.3">
      <c r="A94" t="s">
        <v>399</v>
      </c>
      <c r="B94">
        <v>155</v>
      </c>
    </row>
    <row r="95" spans="1:2" x14ac:dyDescent="0.3">
      <c r="A95" t="s">
        <v>7</v>
      </c>
      <c r="B95">
        <v>141</v>
      </c>
    </row>
    <row r="96" spans="1:2" x14ac:dyDescent="0.3">
      <c r="A96" t="s">
        <v>207</v>
      </c>
      <c r="B96">
        <v>134</v>
      </c>
    </row>
    <row r="97" spans="1:2" x14ac:dyDescent="0.3">
      <c r="A97" t="s">
        <v>106</v>
      </c>
      <c r="B97">
        <v>122</v>
      </c>
    </row>
    <row r="98" spans="1:2" x14ac:dyDescent="0.3">
      <c r="A98" t="s">
        <v>10</v>
      </c>
      <c r="B98">
        <v>112</v>
      </c>
    </row>
    <row r="99" spans="1:2" x14ac:dyDescent="0.3">
      <c r="A99" t="s">
        <v>16</v>
      </c>
      <c r="B99">
        <v>112</v>
      </c>
    </row>
    <row r="100" spans="1:2" x14ac:dyDescent="0.3">
      <c r="A100" t="s">
        <v>179</v>
      </c>
      <c r="B100">
        <v>109</v>
      </c>
    </row>
    <row r="101" spans="1:2" x14ac:dyDescent="0.3">
      <c r="A101" t="s">
        <v>118</v>
      </c>
      <c r="B101">
        <v>97</v>
      </c>
    </row>
    <row r="102" spans="1:2" x14ac:dyDescent="0.3">
      <c r="A102" t="s">
        <v>229</v>
      </c>
      <c r="B102">
        <v>95</v>
      </c>
    </row>
    <row r="103" spans="1:2" x14ac:dyDescent="0.3">
      <c r="A103" t="s">
        <v>80</v>
      </c>
      <c r="B103">
        <v>91</v>
      </c>
    </row>
    <row r="104" spans="1:2" x14ac:dyDescent="0.3">
      <c r="A104" t="s">
        <v>336</v>
      </c>
      <c r="B104">
        <v>90</v>
      </c>
    </row>
    <row r="105" spans="1:2" x14ac:dyDescent="0.3">
      <c r="A105" t="s">
        <v>96</v>
      </c>
      <c r="B105">
        <v>77</v>
      </c>
    </row>
    <row r="106" spans="1:2" x14ac:dyDescent="0.3">
      <c r="A106" t="s">
        <v>19</v>
      </c>
      <c r="B106">
        <v>74</v>
      </c>
    </row>
    <row r="107" spans="1:2" x14ac:dyDescent="0.3">
      <c r="A107" t="s">
        <v>72</v>
      </c>
      <c r="B107">
        <v>71</v>
      </c>
    </row>
    <row r="108" spans="1:2" x14ac:dyDescent="0.3">
      <c r="A108" t="s">
        <v>261</v>
      </c>
      <c r="B108">
        <v>70</v>
      </c>
    </row>
    <row r="109" spans="1:2" x14ac:dyDescent="0.3">
      <c r="A109" t="s">
        <v>13</v>
      </c>
      <c r="B109">
        <v>61</v>
      </c>
    </row>
    <row r="110" spans="1:2" x14ac:dyDescent="0.3">
      <c r="A110" t="s">
        <v>154</v>
      </c>
      <c r="B110">
        <v>58</v>
      </c>
    </row>
    <row r="111" spans="1:2" x14ac:dyDescent="0.3">
      <c r="A111" t="s">
        <v>351</v>
      </c>
      <c r="B111">
        <v>55</v>
      </c>
    </row>
    <row r="112" spans="1:2" x14ac:dyDescent="0.3">
      <c r="A112" t="s">
        <v>171</v>
      </c>
      <c r="B112">
        <v>51</v>
      </c>
    </row>
    <row r="113" spans="1:2" x14ac:dyDescent="0.3">
      <c r="A113" t="s">
        <v>160</v>
      </c>
      <c r="B113">
        <v>48</v>
      </c>
    </row>
    <row r="114" spans="1:2" x14ac:dyDescent="0.3">
      <c r="A114" t="s">
        <v>288</v>
      </c>
      <c r="B114">
        <v>47</v>
      </c>
    </row>
    <row r="115" spans="1:2" x14ac:dyDescent="0.3">
      <c r="A115" t="s">
        <v>164</v>
      </c>
      <c r="B115">
        <v>40</v>
      </c>
    </row>
    <row r="116" spans="1:2" x14ac:dyDescent="0.3">
      <c r="A116" t="s">
        <v>349</v>
      </c>
      <c r="B116">
        <v>39</v>
      </c>
    </row>
    <row r="117" spans="1:2" x14ac:dyDescent="0.3">
      <c r="A117" t="s">
        <v>182</v>
      </c>
      <c r="B117">
        <v>35</v>
      </c>
    </row>
    <row r="118" spans="1:2" x14ac:dyDescent="0.3">
      <c r="A118" t="s">
        <v>57</v>
      </c>
      <c r="B118">
        <v>30</v>
      </c>
    </row>
    <row r="119" spans="1:2" x14ac:dyDescent="0.3">
      <c r="A119" t="s">
        <v>174</v>
      </c>
      <c r="B119">
        <v>30</v>
      </c>
    </row>
    <row r="120" spans="1:2" x14ac:dyDescent="0.3">
      <c r="A120" t="s">
        <v>55</v>
      </c>
      <c r="B120">
        <v>19</v>
      </c>
    </row>
    <row r="121" spans="1:2" x14ac:dyDescent="0.3">
      <c r="A121" t="s">
        <v>197</v>
      </c>
      <c r="B121">
        <v>17</v>
      </c>
    </row>
    <row r="122" spans="1:2" x14ac:dyDescent="0.3">
      <c r="A122" t="s">
        <v>129</v>
      </c>
      <c r="B122">
        <v>15</v>
      </c>
    </row>
    <row r="123" spans="1:2" x14ac:dyDescent="0.3">
      <c r="A123" t="s">
        <v>108</v>
      </c>
      <c r="B123">
        <v>13</v>
      </c>
    </row>
    <row r="124" spans="1:2" x14ac:dyDescent="0.3">
      <c r="A124" t="s">
        <v>22</v>
      </c>
      <c r="B124">
        <v>12</v>
      </c>
    </row>
    <row r="125" spans="1:2" x14ac:dyDescent="0.3">
      <c r="A125" t="s">
        <v>162</v>
      </c>
      <c r="B125">
        <v>10</v>
      </c>
    </row>
    <row r="126" spans="1:2" x14ac:dyDescent="0.3">
      <c r="A126" t="s">
        <v>83</v>
      </c>
      <c r="B126">
        <v>7</v>
      </c>
    </row>
    <row r="127" spans="1:2" x14ac:dyDescent="0.3">
      <c r="A127" t="s">
        <v>188</v>
      </c>
      <c r="B127">
        <v>6</v>
      </c>
    </row>
    <row r="128" spans="1:2" x14ac:dyDescent="0.3">
      <c r="A128" t="s">
        <v>25</v>
      </c>
      <c r="B128">
        <v>4</v>
      </c>
    </row>
    <row r="129" spans="1:2" x14ac:dyDescent="0.3">
      <c r="A129" t="s">
        <v>140</v>
      </c>
      <c r="B129">
        <v>3</v>
      </c>
    </row>
    <row r="130" spans="1:2" x14ac:dyDescent="0.3">
      <c r="A130" t="s">
        <v>132</v>
      </c>
      <c r="B130">
        <v>1</v>
      </c>
    </row>
    <row r="131" spans="1:2" x14ac:dyDescent="0.3">
      <c r="A131" t="s">
        <v>37</v>
      </c>
      <c r="B131">
        <v>0</v>
      </c>
    </row>
    <row r="132" spans="1:2" x14ac:dyDescent="0.3">
      <c r="A132" t="s">
        <v>40</v>
      </c>
      <c r="B132">
        <v>0</v>
      </c>
    </row>
    <row r="133" spans="1:2" x14ac:dyDescent="0.3">
      <c r="A133" t="s">
        <v>42</v>
      </c>
      <c r="B133">
        <v>0</v>
      </c>
    </row>
    <row r="134" spans="1:2" x14ac:dyDescent="0.3">
      <c r="A134" t="s">
        <v>46</v>
      </c>
      <c r="B134">
        <v>0</v>
      </c>
    </row>
    <row r="135" spans="1:2" x14ac:dyDescent="0.3">
      <c r="A135" t="s">
        <v>49</v>
      </c>
      <c r="B135">
        <v>0</v>
      </c>
    </row>
    <row r="136" spans="1:2" x14ac:dyDescent="0.3">
      <c r="A136" t="s">
        <v>51</v>
      </c>
      <c r="B136">
        <v>0</v>
      </c>
    </row>
    <row r="137" spans="1:2" x14ac:dyDescent="0.3">
      <c r="A137" t="s">
        <v>53</v>
      </c>
      <c r="B137">
        <v>0</v>
      </c>
    </row>
    <row r="138" spans="1:2" x14ac:dyDescent="0.3">
      <c r="A138" t="s">
        <v>59</v>
      </c>
      <c r="B138">
        <v>0</v>
      </c>
    </row>
    <row r="139" spans="1:2" x14ac:dyDescent="0.3">
      <c r="A139" t="s">
        <v>64</v>
      </c>
      <c r="B139">
        <v>0</v>
      </c>
    </row>
    <row r="140" spans="1:2" x14ac:dyDescent="0.3">
      <c r="A140" t="s">
        <v>70</v>
      </c>
      <c r="B140">
        <v>0</v>
      </c>
    </row>
    <row r="141" spans="1:2" x14ac:dyDescent="0.3">
      <c r="A141" t="s">
        <v>74</v>
      </c>
      <c r="B141">
        <v>0</v>
      </c>
    </row>
    <row r="142" spans="1:2" x14ac:dyDescent="0.3">
      <c r="A142" t="s">
        <v>76</v>
      </c>
      <c r="B142">
        <v>0</v>
      </c>
    </row>
    <row r="143" spans="1:2" x14ac:dyDescent="0.3">
      <c r="A143" t="s">
        <v>78</v>
      </c>
      <c r="B143">
        <v>0</v>
      </c>
    </row>
    <row r="144" spans="1:2" x14ac:dyDescent="0.3">
      <c r="A144" t="s">
        <v>86</v>
      </c>
      <c r="B144">
        <v>0</v>
      </c>
    </row>
    <row r="145" spans="1:2" x14ac:dyDescent="0.3">
      <c r="A145" t="s">
        <v>90</v>
      </c>
      <c r="B145">
        <v>0</v>
      </c>
    </row>
    <row r="146" spans="1:2" x14ac:dyDescent="0.3">
      <c r="A146" t="s">
        <v>99</v>
      </c>
      <c r="B146">
        <v>0</v>
      </c>
    </row>
    <row r="147" spans="1:2" x14ac:dyDescent="0.3">
      <c r="A147" t="s">
        <v>111</v>
      </c>
      <c r="B147">
        <v>0</v>
      </c>
    </row>
    <row r="148" spans="1:2" x14ac:dyDescent="0.3">
      <c r="A148" t="s">
        <v>113</v>
      </c>
      <c r="B148">
        <v>0</v>
      </c>
    </row>
    <row r="149" spans="1:2" x14ac:dyDescent="0.3">
      <c r="A149" t="s">
        <v>116</v>
      </c>
      <c r="B149">
        <v>0</v>
      </c>
    </row>
    <row r="150" spans="1:2" x14ac:dyDescent="0.3">
      <c r="A150" t="s">
        <v>121</v>
      </c>
      <c r="B150">
        <v>0</v>
      </c>
    </row>
    <row r="151" spans="1:2" x14ac:dyDescent="0.3">
      <c r="A151" t="s">
        <v>123</v>
      </c>
      <c r="B151">
        <v>0</v>
      </c>
    </row>
    <row r="152" spans="1:2" x14ac:dyDescent="0.3">
      <c r="A152" t="s">
        <v>127</v>
      </c>
      <c r="B152">
        <v>0</v>
      </c>
    </row>
    <row r="153" spans="1:2" x14ac:dyDescent="0.3">
      <c r="A153" t="s">
        <v>134</v>
      </c>
      <c r="B153">
        <v>0</v>
      </c>
    </row>
    <row r="154" spans="1:2" x14ac:dyDescent="0.3">
      <c r="A154" t="s">
        <v>136</v>
      </c>
      <c r="B154">
        <v>0</v>
      </c>
    </row>
    <row r="155" spans="1:2" x14ac:dyDescent="0.3">
      <c r="A155" t="s">
        <v>138</v>
      </c>
      <c r="B155">
        <v>0</v>
      </c>
    </row>
    <row r="156" spans="1:2" x14ac:dyDescent="0.3">
      <c r="A156" t="s">
        <v>145</v>
      </c>
      <c r="B156">
        <v>0</v>
      </c>
    </row>
    <row r="157" spans="1:2" x14ac:dyDescent="0.3">
      <c r="A157" t="s">
        <v>149</v>
      </c>
      <c r="B157">
        <v>0</v>
      </c>
    </row>
    <row r="158" spans="1:2" x14ac:dyDescent="0.3">
      <c r="A158" t="s">
        <v>151</v>
      </c>
      <c r="B158">
        <v>0</v>
      </c>
    </row>
    <row r="159" spans="1:2" x14ac:dyDescent="0.3">
      <c r="A159" t="s">
        <v>167</v>
      </c>
      <c r="B159">
        <v>0</v>
      </c>
    </row>
    <row r="160" spans="1:2" x14ac:dyDescent="0.3">
      <c r="A160" t="s">
        <v>169</v>
      </c>
      <c r="B160">
        <v>0</v>
      </c>
    </row>
    <row r="161" spans="1:2" x14ac:dyDescent="0.3">
      <c r="A161" t="s">
        <v>177</v>
      </c>
      <c r="B161">
        <v>0</v>
      </c>
    </row>
    <row r="162" spans="1:2" x14ac:dyDescent="0.3">
      <c r="A162" t="s">
        <v>185</v>
      </c>
      <c r="B162">
        <v>0</v>
      </c>
    </row>
    <row r="163" spans="1:2" x14ac:dyDescent="0.3">
      <c r="A163" t="s">
        <v>191</v>
      </c>
      <c r="B163">
        <v>0</v>
      </c>
    </row>
    <row r="164" spans="1:2" x14ac:dyDescent="0.3">
      <c r="A164" t="s">
        <v>199</v>
      </c>
      <c r="B164">
        <v>0</v>
      </c>
    </row>
    <row r="165" spans="1:2" x14ac:dyDescent="0.3">
      <c r="A165" t="s">
        <v>203</v>
      </c>
      <c r="B165">
        <v>0</v>
      </c>
    </row>
    <row r="166" spans="1:2" x14ac:dyDescent="0.3">
      <c r="A166" t="s">
        <v>217</v>
      </c>
      <c r="B166">
        <v>0</v>
      </c>
    </row>
    <row r="167" spans="1:2" x14ac:dyDescent="0.3">
      <c r="A167" t="s">
        <v>219</v>
      </c>
      <c r="B167">
        <v>0</v>
      </c>
    </row>
    <row r="168" spans="1:2" x14ac:dyDescent="0.3">
      <c r="A168" t="s">
        <v>227</v>
      </c>
      <c r="B168">
        <v>0</v>
      </c>
    </row>
    <row r="169" spans="1:2" x14ac:dyDescent="0.3">
      <c r="A169" t="s">
        <v>234</v>
      </c>
      <c r="B169">
        <v>0</v>
      </c>
    </row>
    <row r="170" spans="1:2" x14ac:dyDescent="0.3">
      <c r="A170" t="s">
        <v>238</v>
      </c>
      <c r="B170">
        <v>0</v>
      </c>
    </row>
    <row r="171" spans="1:2" x14ac:dyDescent="0.3">
      <c r="A171" t="s">
        <v>240</v>
      </c>
      <c r="B171">
        <v>0</v>
      </c>
    </row>
    <row r="172" spans="1:2" x14ac:dyDescent="0.3">
      <c r="A172" t="s">
        <v>245</v>
      </c>
      <c r="B172">
        <v>0</v>
      </c>
    </row>
    <row r="173" spans="1:2" x14ac:dyDescent="0.3">
      <c r="A173" t="s">
        <v>249</v>
      </c>
      <c r="B173">
        <v>0</v>
      </c>
    </row>
    <row r="174" spans="1:2" x14ac:dyDescent="0.3">
      <c r="A174" t="s">
        <v>251</v>
      </c>
      <c r="B174">
        <v>0</v>
      </c>
    </row>
    <row r="175" spans="1:2" x14ac:dyDescent="0.3">
      <c r="A175" t="s">
        <v>255</v>
      </c>
      <c r="B175">
        <v>0</v>
      </c>
    </row>
    <row r="176" spans="1:2" x14ac:dyDescent="0.3">
      <c r="A176" t="s">
        <v>263</v>
      </c>
      <c r="B176">
        <v>0</v>
      </c>
    </row>
    <row r="177" spans="1:2" x14ac:dyDescent="0.3">
      <c r="A177" t="s">
        <v>267</v>
      </c>
      <c r="B177">
        <v>0</v>
      </c>
    </row>
    <row r="178" spans="1:2" x14ac:dyDescent="0.3">
      <c r="A178" t="s">
        <v>278</v>
      </c>
      <c r="B178">
        <v>0</v>
      </c>
    </row>
    <row r="179" spans="1:2" x14ac:dyDescent="0.3">
      <c r="A179" t="s">
        <v>282</v>
      </c>
      <c r="B179">
        <v>0</v>
      </c>
    </row>
    <row r="180" spans="1:2" x14ac:dyDescent="0.3">
      <c r="A180" t="s">
        <v>286</v>
      </c>
      <c r="B180">
        <v>0</v>
      </c>
    </row>
    <row r="181" spans="1:2" x14ac:dyDescent="0.3">
      <c r="A181" t="s">
        <v>330</v>
      </c>
      <c r="B181">
        <v>0</v>
      </c>
    </row>
    <row r="182" spans="1:2" x14ac:dyDescent="0.3">
      <c r="A182" t="s">
        <v>332</v>
      </c>
      <c r="B182">
        <v>0</v>
      </c>
    </row>
    <row r="183" spans="1:2" x14ac:dyDescent="0.3">
      <c r="A183" t="s">
        <v>334</v>
      </c>
      <c r="B183">
        <v>0</v>
      </c>
    </row>
    <row r="184" spans="1:2" x14ac:dyDescent="0.3">
      <c r="A184" t="s">
        <v>338</v>
      </c>
      <c r="B184">
        <v>0</v>
      </c>
    </row>
    <row r="185" spans="1:2" x14ac:dyDescent="0.3">
      <c r="A185" t="s">
        <v>342</v>
      </c>
      <c r="B185">
        <v>0</v>
      </c>
    </row>
    <row r="186" spans="1:2" x14ac:dyDescent="0.3">
      <c r="A186" t="s">
        <v>347</v>
      </c>
      <c r="B186">
        <v>0</v>
      </c>
    </row>
    <row r="187" spans="1:2" x14ac:dyDescent="0.3">
      <c r="A187" t="s">
        <v>367</v>
      </c>
      <c r="B187">
        <v>0</v>
      </c>
    </row>
    <row r="188" spans="1:2" x14ac:dyDescent="0.3">
      <c r="A188" t="s">
        <v>369</v>
      </c>
      <c r="B188">
        <v>0</v>
      </c>
    </row>
    <row r="189" spans="1:2" x14ac:dyDescent="0.3">
      <c r="A189" t="s">
        <v>375</v>
      </c>
      <c r="B189">
        <v>0</v>
      </c>
    </row>
    <row r="190" spans="1:2" x14ac:dyDescent="0.3">
      <c r="A190" t="s">
        <v>383</v>
      </c>
      <c r="B190">
        <v>0</v>
      </c>
    </row>
    <row r="191" spans="1:2" x14ac:dyDescent="0.3">
      <c r="A191" t="s">
        <v>385</v>
      </c>
      <c r="B191">
        <v>0</v>
      </c>
    </row>
    <row r="192" spans="1:2" x14ac:dyDescent="0.3">
      <c r="A192" t="s">
        <v>405</v>
      </c>
      <c r="B192">
        <v>0</v>
      </c>
    </row>
    <row r="193" spans="1:2" x14ac:dyDescent="0.3">
      <c r="A193" t="s">
        <v>416</v>
      </c>
      <c r="B193">
        <v>0</v>
      </c>
    </row>
    <row r="194" spans="1:2" x14ac:dyDescent="0.3">
      <c r="A194" t="s">
        <v>426</v>
      </c>
      <c r="B194">
        <v>0</v>
      </c>
    </row>
    <row r="195" spans="1:2" x14ac:dyDescent="0.3">
      <c r="A195" t="s">
        <v>430</v>
      </c>
      <c r="B195">
        <v>0</v>
      </c>
    </row>
    <row r="196" spans="1:2" x14ac:dyDescent="0.3">
      <c r="A196" t="s">
        <v>432</v>
      </c>
      <c r="B196">
        <v>0</v>
      </c>
    </row>
    <row r="197" spans="1:2" x14ac:dyDescent="0.3">
      <c r="A197" t="s">
        <v>434</v>
      </c>
      <c r="B197">
        <v>0</v>
      </c>
    </row>
    <row r="198" spans="1:2" x14ac:dyDescent="0.3">
      <c r="A198" t="s">
        <v>436</v>
      </c>
      <c r="B198">
        <v>0</v>
      </c>
    </row>
    <row r="199" spans="1:2" x14ac:dyDescent="0.3">
      <c r="A199" t="s">
        <v>438</v>
      </c>
      <c r="B199">
        <v>0</v>
      </c>
    </row>
    <row r="200" spans="1:2" x14ac:dyDescent="0.3">
      <c r="A200" t="s">
        <v>440</v>
      </c>
      <c r="B200">
        <v>0</v>
      </c>
    </row>
  </sheetData>
  <autoFilter ref="A1:B200" xr:uid="{E4A28126-E768-4DA8-8F75-CB88AD5BB818}">
    <sortState xmlns:xlrd2="http://schemas.microsoft.com/office/spreadsheetml/2017/richdata2" ref="A2:B200">
      <sortCondition descending="1" ref="B1:B200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AB8E-F5AC-43EA-A43B-F0265F43656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243FF-0337-40EC-B735-DAA2CD457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Birds of India</vt:lpstr>
      <vt:lpstr>range</vt:lpstr>
      <vt:lpstr>Desciptive Statistic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nguyenthiminhthu01052004@gmail.com</cp:lastModifiedBy>
  <dcterms:created xsi:type="dcterms:W3CDTF">2024-12-20T02:17:07Z</dcterms:created>
  <dcterms:modified xsi:type="dcterms:W3CDTF">2025-11-04T17:23:16Z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2025-04-02T03:13:59Z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9cb64ce6-cdb2-4754-bfb8-fb467df859ee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